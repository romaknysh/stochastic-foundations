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0E7DE356-833D-F944-A643-0D145D71E552}" xr6:coauthVersionLast="47" xr6:coauthVersionMax="47" xr10:uidLastSave="{00000000-0000-0000-0000-000000000000}"/>
  <bookViews>
    <workbookView xWindow="11060" yWindow="760" windowWidth="18340" windowHeight="17440" xr2:uid="{E9EBD984-25AE-534A-ACD4-586AC398DC89}"/>
  </bookViews>
  <sheets>
    <sheet name="D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AQ3" i="2"/>
  <c r="AR3" i="2" s="1"/>
  <c r="AP3" i="2"/>
  <c r="AT3" i="2" s="1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3" i="2"/>
  <c r="AA4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3" i="2"/>
  <c r="AI3" i="2"/>
  <c r="AF3" i="2"/>
  <c r="AH3" i="2" s="1"/>
  <c r="AE3" i="2"/>
  <c r="AD3" i="2"/>
  <c r="R3" i="2"/>
  <c r="S3" i="2"/>
  <c r="T3" i="2" s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AB8" i="2" l="1"/>
  <c r="AB18" i="2"/>
  <c r="AB28" i="2"/>
  <c r="AB38" i="2"/>
  <c r="AB9" i="2"/>
  <c r="AB19" i="2"/>
  <c r="AB29" i="2"/>
  <c r="AB39" i="2"/>
  <c r="AB10" i="2"/>
  <c r="AB20" i="2"/>
  <c r="AB30" i="2"/>
  <c r="AB40" i="2"/>
  <c r="AB11" i="2"/>
  <c r="AB21" i="2"/>
  <c r="AB31" i="2"/>
  <c r="AB41" i="2"/>
  <c r="AB12" i="2"/>
  <c r="AB22" i="2"/>
  <c r="AB32" i="2"/>
  <c r="AB42" i="2"/>
  <c r="AB13" i="2"/>
  <c r="AB23" i="2"/>
  <c r="AB33" i="2"/>
  <c r="AB43" i="2"/>
  <c r="AB4" i="2"/>
  <c r="AB14" i="2"/>
  <c r="AB24" i="2"/>
  <c r="AB34" i="2"/>
  <c r="AB3" i="2"/>
  <c r="AB5" i="2"/>
  <c r="AB15" i="2"/>
  <c r="AB25" i="2"/>
  <c r="AB35" i="2"/>
  <c r="AB6" i="2"/>
  <c r="AB16" i="2"/>
  <c r="AB26" i="2"/>
  <c r="AB36" i="2"/>
  <c r="AB7" i="2"/>
  <c r="AB17" i="2"/>
  <c r="AB27" i="2"/>
  <c r="AB37" i="2"/>
  <c r="AU3" i="2"/>
  <c r="AN17" i="2" s="1"/>
  <c r="AN18" i="2"/>
  <c r="AN42" i="2"/>
  <c r="AN41" i="2"/>
  <c r="AN28" i="2"/>
  <c r="AN12" i="2"/>
  <c r="AN33" i="2"/>
  <c r="AN19" i="2"/>
  <c r="AN11" i="2"/>
  <c r="AN20" i="2"/>
  <c r="AN31" i="2"/>
  <c r="AN43" i="2"/>
  <c r="AN29" i="2"/>
  <c r="AN39" i="2"/>
  <c r="AN23" i="2"/>
  <c r="AN38" i="2"/>
  <c r="AN22" i="2"/>
  <c r="AN9" i="2"/>
  <c r="AN32" i="2"/>
  <c r="AN13" i="2"/>
  <c r="AN37" i="2"/>
  <c r="AN21" i="2"/>
  <c r="AN8" i="2"/>
  <c r="AN26" i="2"/>
  <c r="AN16" i="2"/>
  <c r="AN6" i="2"/>
  <c r="AN35" i="2"/>
  <c r="AN25" i="2"/>
  <c r="AN15" i="2"/>
  <c r="AN5" i="2"/>
  <c r="AN3" i="2"/>
  <c r="AN14" i="2"/>
  <c r="W3" i="2"/>
  <c r="V3" i="2"/>
  <c r="I3" i="2"/>
  <c r="G3" i="2"/>
  <c r="H3" i="2" s="1"/>
  <c r="F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3" i="2"/>
  <c r="AN27" i="2" l="1"/>
  <c r="AN36" i="2"/>
  <c r="AN30" i="2"/>
  <c r="AN40" i="2"/>
  <c r="AN4" i="2"/>
  <c r="AN24" i="2"/>
  <c r="AN34" i="2"/>
  <c r="AN7" i="2"/>
  <c r="AN10" i="2"/>
  <c r="P13" i="2"/>
  <c r="P23" i="2"/>
  <c r="P33" i="2"/>
  <c r="P43" i="2"/>
  <c r="P18" i="2"/>
  <c r="P9" i="2"/>
  <c r="P20" i="2"/>
  <c r="P21" i="2"/>
  <c r="P22" i="2"/>
  <c r="P4" i="2"/>
  <c r="P14" i="2"/>
  <c r="P24" i="2"/>
  <c r="P34" i="2"/>
  <c r="P29" i="2"/>
  <c r="P30" i="2"/>
  <c r="P41" i="2"/>
  <c r="P5" i="2"/>
  <c r="P15" i="2"/>
  <c r="P25" i="2"/>
  <c r="P35" i="2"/>
  <c r="P27" i="2"/>
  <c r="P28" i="2"/>
  <c r="P39" i="2"/>
  <c r="P40" i="2"/>
  <c r="P12" i="2"/>
  <c r="P6" i="2"/>
  <c r="P16" i="2"/>
  <c r="P26" i="2"/>
  <c r="P36" i="2"/>
  <c r="P37" i="2"/>
  <c r="P38" i="2"/>
  <c r="P10" i="2"/>
  <c r="P11" i="2"/>
  <c r="P32" i="2"/>
  <c r="P7" i="2"/>
  <c r="P17" i="2"/>
  <c r="P8" i="2"/>
  <c r="P19" i="2"/>
  <c r="P31" i="2"/>
  <c r="P42" i="2"/>
  <c r="J3" i="2"/>
  <c r="D34" i="2" s="1"/>
  <c r="P3" i="2"/>
  <c r="K3" i="2"/>
  <c r="D4" i="2" l="1"/>
  <c r="D39" i="2"/>
  <c r="D33" i="2"/>
  <c r="D17" i="2"/>
  <c r="D30" i="2"/>
  <c r="D27" i="2"/>
  <c r="D3" i="2"/>
  <c r="D9" i="2"/>
  <c r="D25" i="2"/>
  <c r="D29" i="2"/>
  <c r="D36" i="2"/>
  <c r="D10" i="2"/>
  <c r="D22" i="2"/>
  <c r="D8" i="2"/>
  <c r="D15" i="2"/>
  <c r="D23" i="2"/>
  <c r="D13" i="2"/>
  <c r="D19" i="2"/>
  <c r="D26" i="2"/>
  <c r="D35" i="2"/>
  <c r="D12" i="2"/>
  <c r="D41" i="2"/>
  <c r="D20" i="2"/>
  <c r="D5" i="2"/>
  <c r="D7" i="2"/>
  <c r="D42" i="2"/>
  <c r="D32" i="2"/>
  <c r="D38" i="2"/>
  <c r="D11" i="2"/>
  <c r="D37" i="2"/>
  <c r="D40" i="2"/>
  <c r="D24" i="2"/>
  <c r="D28" i="2"/>
  <c r="D16" i="2"/>
  <c r="D14" i="2"/>
  <c r="D31" i="2"/>
  <c r="D43" i="2"/>
  <c r="D21" i="2"/>
  <c r="D18" i="2"/>
  <c r="D6" i="2"/>
</calcChain>
</file>

<file path=xl/sharedStrings.xml><?xml version="1.0" encoding="utf-8"?>
<sst xmlns="http://schemas.openxmlformats.org/spreadsheetml/2006/main" count="36" uniqueCount="13">
  <si>
    <t>K</t>
  </si>
  <si>
    <t>Ro(k)</t>
  </si>
  <si>
    <t>Bi(k)</t>
  </si>
  <si>
    <t>DX</t>
  </si>
  <si>
    <t>EX</t>
  </si>
  <si>
    <t>c * sigma</t>
  </si>
  <si>
    <t>interval min</t>
  </si>
  <si>
    <t>interval max</t>
  </si>
  <si>
    <t>Po(k)</t>
  </si>
  <si>
    <t>Geo(k)</t>
  </si>
  <si>
    <t>in_interval</t>
  </si>
  <si>
    <t>std_dev</t>
  </si>
  <si>
    <t>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</si>
</sst>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2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1" fillId="4" borderId="10" xfId="0" applyFont="1" applyFill="1" applyBorder="1"/>
    <xf numFmtId="0" fontId="1" fillId="4" borderId="23" xfId="0" applyFont="1" applyFill="1" applyBorder="1"/>
    <xf numFmtId="0" fontId="1" fillId="4" borderId="24" xfId="0" applyFont="1" applyFill="1" applyBorder="1"/>
    <xf numFmtId="0" fontId="1" fillId="3" borderId="13" xfId="0" applyFont="1" applyFill="1" applyBorder="1"/>
    <xf numFmtId="0" fontId="1" fillId="3" borderId="25" xfId="0" applyFont="1" applyFill="1" applyBorder="1"/>
    <xf numFmtId="0" fontId="1" fillId="3" borderId="26" xfId="0" applyFont="1" applyFill="1" applyBorder="1"/>
    <xf numFmtId="0" fontId="1" fillId="3" borderId="27" xfId="0" applyFont="1" applyFill="1" applyBorder="1"/>
    <xf numFmtId="0" fontId="1" fillId="3" borderId="6" xfId="0" applyFont="1" applyFill="1" applyBorder="1"/>
    <xf numFmtId="0" fontId="1" fillId="3" borderId="28" xfId="0" applyFont="1" applyFill="1" applyBorder="1"/>
    <xf numFmtId="0" fontId="1" fillId="3" borderId="29" xfId="0" applyFont="1" applyFill="1" applyBorder="1"/>
    <xf numFmtId="0" fontId="1" fillId="3" borderId="7" xfId="0" applyFont="1" applyFill="1" applyBorder="1"/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1" fillId="5" borderId="3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1" fillId="3" borderId="33" xfId="0" applyFont="1" applyFill="1" applyBorder="1"/>
    <xf numFmtId="0" fontId="1" fillId="3" borderId="10" xfId="0" applyFont="1" applyFill="1" applyBorder="1"/>
    <xf numFmtId="0" fontId="1" fillId="3" borderId="23" xfId="0" applyFont="1" applyFill="1" applyBorder="1"/>
    <xf numFmtId="0" fontId="1" fillId="3" borderId="2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uniform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DU!$B$3:$B$43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DU!$C$3:$C$43</c:f>
              <c:numCache>
                <c:formatCode>General</c:formatCode>
                <c:ptCount val="41"/>
                <c:pt idx="0">
                  <c:v>2.4390243902439025E-2</c:v>
                </c:pt>
                <c:pt idx="1">
                  <c:v>2.4390243902439025E-2</c:v>
                </c:pt>
                <c:pt idx="2">
                  <c:v>2.4390243902439025E-2</c:v>
                </c:pt>
                <c:pt idx="3">
                  <c:v>2.4390243902439025E-2</c:v>
                </c:pt>
                <c:pt idx="4">
                  <c:v>2.4390243902439025E-2</c:v>
                </c:pt>
                <c:pt idx="5">
                  <c:v>2.4390243902439025E-2</c:v>
                </c:pt>
                <c:pt idx="6">
                  <c:v>2.4390243902439025E-2</c:v>
                </c:pt>
                <c:pt idx="7">
                  <c:v>2.4390243902439025E-2</c:v>
                </c:pt>
                <c:pt idx="8">
                  <c:v>2.4390243902439025E-2</c:v>
                </c:pt>
                <c:pt idx="9">
                  <c:v>2.4390243902439025E-2</c:v>
                </c:pt>
                <c:pt idx="10">
                  <c:v>2.4390243902439025E-2</c:v>
                </c:pt>
                <c:pt idx="11">
                  <c:v>2.4390243902439025E-2</c:v>
                </c:pt>
                <c:pt idx="12">
                  <c:v>2.4390243902439025E-2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2.4390243902439025E-2</c:v>
                </c:pt>
                <c:pt idx="16">
                  <c:v>2.4390243902439025E-2</c:v>
                </c:pt>
                <c:pt idx="17">
                  <c:v>2.4390243902439025E-2</c:v>
                </c:pt>
                <c:pt idx="18">
                  <c:v>2.4390243902439025E-2</c:v>
                </c:pt>
                <c:pt idx="19">
                  <c:v>2.4390243902439025E-2</c:v>
                </c:pt>
                <c:pt idx="20">
                  <c:v>2.4390243902439025E-2</c:v>
                </c:pt>
                <c:pt idx="21">
                  <c:v>2.4390243902439025E-2</c:v>
                </c:pt>
                <c:pt idx="22">
                  <c:v>2.4390243902439025E-2</c:v>
                </c:pt>
                <c:pt idx="23">
                  <c:v>2.4390243902439025E-2</c:v>
                </c:pt>
                <c:pt idx="24">
                  <c:v>2.4390243902439025E-2</c:v>
                </c:pt>
                <c:pt idx="25">
                  <c:v>2.4390243902439025E-2</c:v>
                </c:pt>
                <c:pt idx="26">
                  <c:v>2.4390243902439025E-2</c:v>
                </c:pt>
                <c:pt idx="27">
                  <c:v>2.4390243902439025E-2</c:v>
                </c:pt>
                <c:pt idx="28">
                  <c:v>2.4390243902439025E-2</c:v>
                </c:pt>
                <c:pt idx="29">
                  <c:v>2.4390243902439025E-2</c:v>
                </c:pt>
                <c:pt idx="30">
                  <c:v>2.4390243902439025E-2</c:v>
                </c:pt>
                <c:pt idx="31">
                  <c:v>2.4390243902439025E-2</c:v>
                </c:pt>
                <c:pt idx="32">
                  <c:v>2.4390243902439025E-2</c:v>
                </c:pt>
                <c:pt idx="33">
                  <c:v>2.4390243902439025E-2</c:v>
                </c:pt>
                <c:pt idx="34">
                  <c:v>2.4390243902439025E-2</c:v>
                </c:pt>
                <c:pt idx="35">
                  <c:v>2.4390243902439025E-2</c:v>
                </c:pt>
                <c:pt idx="36">
                  <c:v>2.4390243902439025E-2</c:v>
                </c:pt>
                <c:pt idx="37">
                  <c:v>2.4390243902439025E-2</c:v>
                </c:pt>
                <c:pt idx="38">
                  <c:v>2.4390243902439025E-2</c:v>
                </c:pt>
                <c:pt idx="39">
                  <c:v>2.4390243902439025E-2</c:v>
                </c:pt>
                <c:pt idx="40">
                  <c:v>2.4390243902439025E-2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F-6343-943D-B71584BB8EA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DU!$B$3:$B$43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DU!$D$3:$D$43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2.4390243902439025E-2</c:v>
                </c:pt>
                <c:pt idx="10">
                  <c:v>2.4390243902439025E-2</c:v>
                </c:pt>
                <c:pt idx="11">
                  <c:v>2.4390243902439025E-2</c:v>
                </c:pt>
                <c:pt idx="12">
                  <c:v>2.4390243902439025E-2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2.4390243902439025E-2</c:v>
                </c:pt>
                <c:pt idx="16">
                  <c:v>2.4390243902439025E-2</c:v>
                </c:pt>
                <c:pt idx="17">
                  <c:v>2.4390243902439025E-2</c:v>
                </c:pt>
                <c:pt idx="18">
                  <c:v>2.4390243902439025E-2</c:v>
                </c:pt>
                <c:pt idx="19">
                  <c:v>2.4390243902439025E-2</c:v>
                </c:pt>
                <c:pt idx="20">
                  <c:v>2.4390243902439025E-2</c:v>
                </c:pt>
                <c:pt idx="21">
                  <c:v>2.4390243902439025E-2</c:v>
                </c:pt>
                <c:pt idx="22">
                  <c:v>2.4390243902439025E-2</c:v>
                </c:pt>
                <c:pt idx="23">
                  <c:v>2.4390243902439025E-2</c:v>
                </c:pt>
                <c:pt idx="24">
                  <c:v>2.4390243902439025E-2</c:v>
                </c:pt>
                <c:pt idx="25">
                  <c:v>2.4390243902439025E-2</c:v>
                </c:pt>
                <c:pt idx="26">
                  <c:v>2.4390243902439025E-2</c:v>
                </c:pt>
                <c:pt idx="27">
                  <c:v>2.4390243902439025E-2</c:v>
                </c:pt>
                <c:pt idx="28">
                  <c:v>2.4390243902439025E-2</c:v>
                </c:pt>
                <c:pt idx="29">
                  <c:v>2.4390243902439025E-2</c:v>
                </c:pt>
                <c:pt idx="30">
                  <c:v>2.4390243902439025E-2</c:v>
                </c:pt>
                <c:pt idx="31">
                  <c:v>2.4390243902439025E-2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FF-6343-943D-B71584BB8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835328"/>
        <c:axId val="614255568"/>
      </c:barChart>
      <c:catAx>
        <c:axId val="6138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55568"/>
        <c:crosses val="autoZero"/>
        <c:auto val="1"/>
        <c:lblAlgn val="ctr"/>
        <c:lblOffset val="100"/>
        <c:noMultiLvlLbl val="0"/>
      </c:catAx>
      <c:valAx>
        <c:axId val="61425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3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binomial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DU!$N$3:$N$43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DU!$O$3:$O$43</c:f>
              <c:numCache>
                <c:formatCode>General</c:formatCode>
                <c:ptCount val="41"/>
                <c:pt idx="0">
                  <c:v>9.0949470177292824E-13</c:v>
                </c:pt>
                <c:pt idx="1">
                  <c:v>3.6379788070917149E-11</c:v>
                </c:pt>
                <c:pt idx="2">
                  <c:v>7.0940586738288651E-10</c:v>
                </c:pt>
                <c:pt idx="3">
                  <c:v>8.9858076535164896E-9</c:v>
                </c:pt>
                <c:pt idx="4">
                  <c:v>8.3118720795027925E-8</c:v>
                </c:pt>
                <c:pt idx="5">
                  <c:v>5.9845478972420139E-7</c:v>
                </c:pt>
                <c:pt idx="6">
                  <c:v>3.4909862733911799E-6</c:v>
                </c:pt>
                <c:pt idx="7">
                  <c:v>1.6956219042185785E-5</c:v>
                </c:pt>
                <c:pt idx="8">
                  <c:v>6.9944403549015798E-5</c:v>
                </c:pt>
                <c:pt idx="9">
                  <c:v>2.4869121261872281E-4</c:v>
                </c:pt>
                <c:pt idx="10">
                  <c:v>7.7094275911804278E-4</c:v>
                </c:pt>
                <c:pt idx="11">
                  <c:v>2.1025711612310239E-3</c:v>
                </c:pt>
                <c:pt idx="12">
                  <c:v>5.0812136396416498E-3</c:v>
                </c:pt>
                <c:pt idx="13">
                  <c:v>1.094415245461278E-2</c:v>
                </c:pt>
                <c:pt idx="14">
                  <c:v>2.1106579733896052E-2</c:v>
                </c:pt>
                <c:pt idx="15">
                  <c:v>3.6584738205419853E-2</c:v>
                </c:pt>
                <c:pt idx="16">
                  <c:v>5.7163653445968521E-2</c:v>
                </c:pt>
                <c:pt idx="17">
                  <c:v>8.07016283943085E-2</c:v>
                </c:pt>
                <c:pt idx="18">
                  <c:v>0.10311874739272751</c:v>
                </c:pt>
                <c:pt idx="19">
                  <c:v>0.11940065487578974</c:v>
                </c:pt>
                <c:pt idx="20">
                  <c:v>0.12537068761957929</c:v>
                </c:pt>
                <c:pt idx="21">
                  <c:v>0.11940065487578974</c:v>
                </c:pt>
                <c:pt idx="22">
                  <c:v>0.10311874739272751</c:v>
                </c:pt>
                <c:pt idx="23">
                  <c:v>8.07016283943085E-2</c:v>
                </c:pt>
                <c:pt idx="24">
                  <c:v>5.7163653445968521E-2</c:v>
                </c:pt>
                <c:pt idx="25">
                  <c:v>3.6584738205419853E-2</c:v>
                </c:pt>
                <c:pt idx="26">
                  <c:v>2.1106579733896052E-2</c:v>
                </c:pt>
                <c:pt idx="27">
                  <c:v>1.094415245461278E-2</c:v>
                </c:pt>
                <c:pt idx="28">
                  <c:v>5.0812136396416498E-3</c:v>
                </c:pt>
                <c:pt idx="29">
                  <c:v>2.1025711612310239E-3</c:v>
                </c:pt>
                <c:pt idx="30">
                  <c:v>7.7094275911804278E-4</c:v>
                </c:pt>
                <c:pt idx="31">
                  <c:v>2.4869121261872286E-4</c:v>
                </c:pt>
                <c:pt idx="32">
                  <c:v>6.9944403549015798E-5</c:v>
                </c:pt>
                <c:pt idx="33">
                  <c:v>1.6956219042185755E-5</c:v>
                </c:pt>
                <c:pt idx="34">
                  <c:v>3.490986273391174E-6</c:v>
                </c:pt>
                <c:pt idx="35">
                  <c:v>5.9845478972420139E-7</c:v>
                </c:pt>
                <c:pt idx="36">
                  <c:v>8.3118720795027925E-8</c:v>
                </c:pt>
                <c:pt idx="37">
                  <c:v>8.9858076535164896E-9</c:v>
                </c:pt>
                <c:pt idx="38">
                  <c:v>7.0940586738288651E-10</c:v>
                </c:pt>
                <c:pt idx="39">
                  <c:v>3.6379788070917149E-11</c:v>
                </c:pt>
                <c:pt idx="40">
                  <c:v>9.0949470177292824E-13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5-C44D-9680-37BB8A286D7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DU!$N$3:$N$43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DU!$P$3:$P$43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8.07016283943085E-2</c:v>
                </c:pt>
                <c:pt idx="18">
                  <c:v>0.10311874739272751</c:v>
                </c:pt>
                <c:pt idx="19">
                  <c:v>0.11940065487578974</c:v>
                </c:pt>
                <c:pt idx="20">
                  <c:v>0.12537068761957929</c:v>
                </c:pt>
                <c:pt idx="21">
                  <c:v>0.11940065487578974</c:v>
                </c:pt>
                <c:pt idx="22">
                  <c:v>0.10311874739272751</c:v>
                </c:pt>
                <c:pt idx="23">
                  <c:v>8.07016283943085E-2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75-C44D-9680-37BB8A286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364479"/>
        <c:axId val="1023323935"/>
      </c:barChart>
      <c:catAx>
        <c:axId val="102336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23935"/>
        <c:crosses val="autoZero"/>
        <c:auto val="1"/>
        <c:lblAlgn val="ctr"/>
        <c:lblOffset val="100"/>
        <c:noMultiLvlLbl val="0"/>
      </c:catAx>
      <c:valAx>
        <c:axId val="102332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6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poisson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DU!$Z$3:$Z$43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DU!$AA$3:$AA$43</c:f>
              <c:numCache>
                <c:formatCode>General</c:formatCode>
                <c:ptCount val="41"/>
                <c:pt idx="0">
                  <c:v>2.0611536224385579E-9</c:v>
                </c:pt>
                <c:pt idx="1">
                  <c:v>4.1223072448771152E-8</c:v>
                </c:pt>
                <c:pt idx="2">
                  <c:v>4.1223072448771121E-7</c:v>
                </c:pt>
                <c:pt idx="3">
                  <c:v>2.7482048299180789E-6</c:v>
                </c:pt>
                <c:pt idx="4">
                  <c:v>1.3741024149590403E-5</c:v>
                </c:pt>
                <c:pt idx="5">
                  <c:v>5.4964096598361591E-5</c:v>
                </c:pt>
                <c:pt idx="6">
                  <c:v>1.8321365532787196E-4</c:v>
                </c:pt>
                <c:pt idx="7">
                  <c:v>5.2346758665106302E-4</c:v>
                </c:pt>
                <c:pt idx="8">
                  <c:v>1.3086689666276553E-3</c:v>
                </c:pt>
                <c:pt idx="9">
                  <c:v>2.9081532591725681E-3</c:v>
                </c:pt>
                <c:pt idx="10">
                  <c:v>5.8163065183451353E-3</c:v>
                </c:pt>
                <c:pt idx="11">
                  <c:v>1.0575102760627515E-2</c:v>
                </c:pt>
                <c:pt idx="12">
                  <c:v>1.7625171267712545E-2</c:v>
                </c:pt>
                <c:pt idx="13">
                  <c:v>2.7115648104173135E-2</c:v>
                </c:pt>
                <c:pt idx="14">
                  <c:v>3.8736640148818745E-2</c:v>
                </c:pt>
                <c:pt idx="15">
                  <c:v>5.1648853531758354E-2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4.4587649108267881E-2</c:v>
                </c:pt>
                <c:pt idx="26">
                  <c:v>3.4298191621744509E-2</c:v>
                </c:pt>
                <c:pt idx="27">
                  <c:v>2.5406067867958917E-2</c:v>
                </c:pt>
                <c:pt idx="28">
                  <c:v>1.8147191334256366E-2</c:v>
                </c:pt>
                <c:pt idx="29">
                  <c:v>1.2515304368452655E-2</c:v>
                </c:pt>
                <c:pt idx="30">
                  <c:v>8.3435362456351133E-3</c:v>
                </c:pt>
                <c:pt idx="31">
                  <c:v>5.3829266100871558E-3</c:v>
                </c:pt>
                <c:pt idx="32">
                  <c:v>3.3643291313044709E-3</c:v>
                </c:pt>
                <c:pt idx="33">
                  <c:v>2.0389873523057505E-3</c:v>
                </c:pt>
                <c:pt idx="34">
                  <c:v>1.199404324885734E-3</c:v>
                </c:pt>
                <c:pt idx="35">
                  <c:v>6.8537389993470344E-4</c:v>
                </c:pt>
                <c:pt idx="36">
                  <c:v>3.8076327774150232E-4</c:v>
                </c:pt>
                <c:pt idx="37">
                  <c:v>2.0581798796837891E-4</c:v>
                </c:pt>
                <c:pt idx="38">
                  <c:v>1.0832525682546335E-4</c:v>
                </c:pt>
                <c:pt idx="39">
                  <c:v>5.5551413756647715E-5</c:v>
                </c:pt>
                <c:pt idx="40">
                  <c:v>2.7775706878323834E-5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C-564C-ABF8-64DA3DC222A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DU!$Z$3:$Z$43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DU!$AB$3:$AB$43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BC-564C-ABF8-64DA3DC22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709935"/>
        <c:axId val="1262706095"/>
      </c:barChart>
      <c:catAx>
        <c:axId val="126270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706095"/>
        <c:crosses val="autoZero"/>
        <c:auto val="1"/>
        <c:lblAlgn val="ctr"/>
        <c:lblOffset val="100"/>
        <c:noMultiLvlLbl val="0"/>
      </c:catAx>
      <c:valAx>
        <c:axId val="126270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70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geometric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DU!$AL$3:$AL$43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DU!$AM$3:$AM$43</c:f>
              <c:numCache>
                <c:formatCode>General</c:formatCode>
                <c:ptCount val="41"/>
                <c:pt idx="0">
                  <c:v>4.7619047619047616E-2</c:v>
                </c:pt>
                <c:pt idx="1">
                  <c:v>4.5351473922902487E-2</c:v>
                </c:pt>
                <c:pt idx="2">
                  <c:v>4.3191879926573799E-2</c:v>
                </c:pt>
                <c:pt idx="3">
                  <c:v>4.1135123739594097E-2</c:v>
                </c:pt>
                <c:pt idx="4">
                  <c:v>3.9176308323422941E-2</c:v>
                </c:pt>
                <c:pt idx="5">
                  <c:v>3.7310769831831375E-2</c:v>
                </c:pt>
                <c:pt idx="6">
                  <c:v>3.5534066506506069E-2</c:v>
                </c:pt>
                <c:pt idx="7">
                  <c:v>3.3841968101434347E-2</c:v>
                </c:pt>
                <c:pt idx="8">
                  <c:v>3.2230445810889859E-2</c:v>
                </c:pt>
                <c:pt idx="9">
                  <c:v>3.0695662677037959E-2</c:v>
                </c:pt>
                <c:pt idx="10">
                  <c:v>2.9233964454321859E-2</c:v>
                </c:pt>
                <c:pt idx="11">
                  <c:v>2.7841870908877964E-2</c:v>
                </c:pt>
                <c:pt idx="12">
                  <c:v>2.6516067532264726E-2</c:v>
                </c:pt>
                <c:pt idx="13">
                  <c:v>2.5253397649775928E-2</c:v>
                </c:pt>
                <c:pt idx="14">
                  <c:v>2.4050854904548502E-2</c:v>
                </c:pt>
                <c:pt idx="15">
                  <c:v>2.2905576099570002E-2</c:v>
                </c:pt>
                <c:pt idx="16">
                  <c:v>2.1814834380542859E-2</c:v>
                </c:pt>
                <c:pt idx="17">
                  <c:v>2.077603274337415E-2</c:v>
                </c:pt>
                <c:pt idx="18">
                  <c:v>1.9786697850832525E-2</c:v>
                </c:pt>
                <c:pt idx="19">
                  <c:v>1.8844474143650022E-2</c:v>
                </c:pt>
                <c:pt idx="20">
                  <c:v>1.794711823204764E-2</c:v>
                </c:pt>
                <c:pt idx="21">
                  <c:v>1.7092493554331081E-2</c:v>
                </c:pt>
                <c:pt idx="22">
                  <c:v>1.6278565289839127E-2</c:v>
                </c:pt>
                <c:pt idx="23">
                  <c:v>1.55033955141325E-2</c:v>
                </c:pt>
                <c:pt idx="24">
                  <c:v>1.4765138584888095E-2</c:v>
                </c:pt>
                <c:pt idx="25">
                  <c:v>1.4062036747512472E-2</c:v>
                </c:pt>
                <c:pt idx="26">
                  <c:v>1.3392415950011876E-2</c:v>
                </c:pt>
                <c:pt idx="27">
                  <c:v>1.2754681857154167E-2</c:v>
                </c:pt>
                <c:pt idx="28">
                  <c:v>1.214731605443254E-2</c:v>
                </c:pt>
                <c:pt idx="29">
                  <c:v>1.1568872432792894E-2</c:v>
                </c:pt>
                <c:pt idx="30">
                  <c:v>1.1017973745517041E-2</c:v>
                </c:pt>
                <c:pt idx="31">
                  <c:v>1.0493308329063851E-2</c:v>
                </c:pt>
                <c:pt idx="32">
                  <c:v>9.9936269800608088E-3</c:v>
                </c:pt>
                <c:pt idx="33">
                  <c:v>9.5177399810102929E-3</c:v>
                </c:pt>
                <c:pt idx="34">
                  <c:v>9.0645142676288506E-3</c:v>
                </c:pt>
                <c:pt idx="35">
                  <c:v>8.6328707310750954E-3</c:v>
                </c:pt>
                <c:pt idx="36">
                  <c:v>8.2217816486429476E-3</c:v>
                </c:pt>
                <c:pt idx="37">
                  <c:v>7.8302682368028079E-3</c:v>
                </c:pt>
                <c:pt idx="38">
                  <c:v>7.4573983207645786E-3</c:v>
                </c:pt>
                <c:pt idx="39">
                  <c:v>7.1022841150138825E-3</c:v>
                </c:pt>
                <c:pt idx="40">
                  <c:v>6.7640801095370318E-3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7-0341-A6F2-46BAF3A174B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DU!$AL$3:$AL$43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DU!$AN$3:$AN$43</c:f>
              <c:numCache>
                <c:formatCode>General</c:formatCode>
                <c:ptCount val="41"/>
                <c:pt idx="0">
                  <c:v>4.7619047619047616E-2</c:v>
                </c:pt>
                <c:pt idx="1">
                  <c:v>4.5351473922902487E-2</c:v>
                </c:pt>
                <c:pt idx="2">
                  <c:v>4.3191879926573799E-2</c:v>
                </c:pt>
                <c:pt idx="3">
                  <c:v>4.1135123739594097E-2</c:v>
                </c:pt>
                <c:pt idx="4">
                  <c:v>3.9176308323422941E-2</c:v>
                </c:pt>
                <c:pt idx="5">
                  <c:v>3.7310769831831375E-2</c:v>
                </c:pt>
                <c:pt idx="6">
                  <c:v>3.5534066506506069E-2</c:v>
                </c:pt>
                <c:pt idx="7">
                  <c:v>3.3841968101434347E-2</c:v>
                </c:pt>
                <c:pt idx="8">
                  <c:v>3.2230445810889859E-2</c:v>
                </c:pt>
                <c:pt idx="9">
                  <c:v>3.0695662677037959E-2</c:v>
                </c:pt>
                <c:pt idx="10">
                  <c:v>2.9233964454321859E-2</c:v>
                </c:pt>
                <c:pt idx="11">
                  <c:v>2.7841870908877964E-2</c:v>
                </c:pt>
                <c:pt idx="12">
                  <c:v>2.6516067532264726E-2</c:v>
                </c:pt>
                <c:pt idx="13">
                  <c:v>2.5253397649775928E-2</c:v>
                </c:pt>
                <c:pt idx="14">
                  <c:v>2.4050854904548502E-2</c:v>
                </c:pt>
                <c:pt idx="15">
                  <c:v>2.2905576099570002E-2</c:v>
                </c:pt>
                <c:pt idx="16">
                  <c:v>2.1814834380542859E-2</c:v>
                </c:pt>
                <c:pt idx="17">
                  <c:v>2.077603274337415E-2</c:v>
                </c:pt>
                <c:pt idx="18">
                  <c:v>1.9786697850832525E-2</c:v>
                </c:pt>
                <c:pt idx="19">
                  <c:v>1.8844474143650022E-2</c:v>
                </c:pt>
                <c:pt idx="20">
                  <c:v>1.794711823204764E-2</c:v>
                </c:pt>
                <c:pt idx="21">
                  <c:v>1.7092493554331081E-2</c:v>
                </c:pt>
                <c:pt idx="22">
                  <c:v>1.6278565289839127E-2</c:v>
                </c:pt>
                <c:pt idx="23">
                  <c:v>1.55033955141325E-2</c:v>
                </c:pt>
                <c:pt idx="24">
                  <c:v>1.4765138584888095E-2</c:v>
                </c:pt>
                <c:pt idx="25">
                  <c:v>1.4062036747512472E-2</c:v>
                </c:pt>
                <c:pt idx="26">
                  <c:v>1.3392415950011876E-2</c:v>
                </c:pt>
                <c:pt idx="27">
                  <c:v>1.2754681857154167E-2</c:v>
                </c:pt>
                <c:pt idx="28">
                  <c:v>1.214731605443254E-2</c:v>
                </c:pt>
                <c:pt idx="29">
                  <c:v>1.1568872432792894E-2</c:v>
                </c:pt>
                <c:pt idx="30">
                  <c:v>1.1017973745517041E-2</c:v>
                </c:pt>
                <c:pt idx="31">
                  <c:v>1.0493308329063851E-2</c:v>
                </c:pt>
                <c:pt idx="32">
                  <c:v>9.9936269800608088E-3</c:v>
                </c:pt>
                <c:pt idx="33">
                  <c:v>9.5177399810102929E-3</c:v>
                </c:pt>
                <c:pt idx="34">
                  <c:v>9.0645142676288506E-3</c:v>
                </c:pt>
                <c:pt idx="35">
                  <c:v>8.6328707310750954E-3</c:v>
                </c:pt>
                <c:pt idx="36">
                  <c:v>8.2217816486429476E-3</c:v>
                </c:pt>
                <c:pt idx="37">
                  <c:v>7.8302682368028079E-3</c:v>
                </c:pt>
                <c:pt idx="38">
                  <c:v>7.4573983207645786E-3</c:v>
                </c:pt>
                <c:pt idx="39">
                  <c:v>7.1022841150138825E-3</c:v>
                </c:pt>
                <c:pt idx="40">
                  <c:v>6.7640801095370318E-3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7-0341-A6F2-46BAF3A17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316015"/>
        <c:axId val="1428254991"/>
      </c:barChart>
      <c:catAx>
        <c:axId val="142831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254991"/>
        <c:crosses val="autoZero"/>
        <c:auto val="1"/>
        <c:lblAlgn val="ctr"/>
        <c:lblOffset val="100"/>
        <c:noMultiLvlLbl val="0"/>
      </c:catAx>
      <c:valAx>
        <c:axId val="14282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31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29882</xdr:colOff>
      <xdr:row>4</xdr:row>
      <xdr:rowOff>58484</xdr:rowOff>
    </xdr:from>
    <xdr:to>
      <xdr:col>10</xdr:col>
      <xdr:colOff>493059</xdr:colOff>
      <xdr:row>17</xdr:row>
      <xdr:rowOff>165633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BC5184-21C4-389D-5835-4EFC7DD79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13875</xdr:colOff>
      <xdr:row>5</xdr:row>
      <xdr:rowOff>58485</xdr:rowOff>
    </xdr:from>
    <xdr:to>
      <xdr:col>22</xdr:col>
      <xdr:colOff>477051</xdr:colOff>
      <xdr:row>18</xdr:row>
      <xdr:rowOff>165635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CB2B0D-5A30-F6F2-6439-4D11B7329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3202</xdr:colOff>
      <xdr:row>4</xdr:row>
      <xdr:rowOff>69156</xdr:rowOff>
    </xdr:from>
    <xdr:to>
      <xdr:col>34</xdr:col>
      <xdr:colOff>466379</xdr:colOff>
      <xdr:row>17</xdr:row>
      <xdr:rowOff>165633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4175DE-34BC-5507-0D43-A7EA7E660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35219</xdr:colOff>
      <xdr:row>4</xdr:row>
      <xdr:rowOff>69157</xdr:rowOff>
    </xdr:from>
    <xdr:to>
      <xdr:col>46</xdr:col>
      <xdr:colOff>498395</xdr:colOff>
      <xdr:row>17</xdr:row>
      <xdr:rowOff>165634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4F9D9D-4235-71DD-9005-205046DF9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02C9-700C-6E4F-AEF9-9EAF3FD7FBF1}">
  <dimension ref="B1:AV44"/>
  <sheetViews>
    <sheetView tabSelected="1" topLeftCell="A2" workbookViewId="0">
      <selection activeCell="AW7" sqref="AW7"/>
    </sheetView>
  </sheetViews>
  <sheetFormatPr baseColWidth="10" defaultRowHeight="16" x14ac:dyDescent="0.2"/>
  <cols>
    <col min="3" max="3" width="12.1640625" bestFit="1" customWidth="1"/>
    <col min="27" max="27" width="12.1640625" bestFit="1" customWidth="1"/>
  </cols>
  <sheetData>
    <row r="1" spans="2:48" ht="17" thickBot="1" x14ac:dyDescent="0.25"/>
    <row r="2" spans="2:48" ht="17" thickBot="1" x14ac:dyDescent="0.25">
      <c r="B2" s="2" t="s">
        <v>0</v>
      </c>
      <c r="C2" s="3" t="s">
        <v>1</v>
      </c>
      <c r="D2" s="4" t="s">
        <v>10</v>
      </c>
      <c r="F2" s="2" t="s">
        <v>4</v>
      </c>
      <c r="G2" s="3" t="s">
        <v>3</v>
      </c>
      <c r="H2" s="3" t="s">
        <v>11</v>
      </c>
      <c r="I2" s="3" t="s">
        <v>5</v>
      </c>
      <c r="J2" s="3" t="s">
        <v>6</v>
      </c>
      <c r="K2" s="4" t="s">
        <v>7</v>
      </c>
      <c r="M2" s="1"/>
      <c r="N2" s="20" t="s">
        <v>0</v>
      </c>
      <c r="O2" s="21" t="s">
        <v>2</v>
      </c>
      <c r="P2" s="22" t="s">
        <v>10</v>
      </c>
      <c r="Q2" s="1"/>
      <c r="R2" s="20" t="s">
        <v>4</v>
      </c>
      <c r="S2" s="21" t="s">
        <v>3</v>
      </c>
      <c r="T2" s="21" t="s">
        <v>11</v>
      </c>
      <c r="U2" s="21" t="s">
        <v>5</v>
      </c>
      <c r="V2" s="21" t="s">
        <v>6</v>
      </c>
      <c r="W2" s="22" t="s">
        <v>7</v>
      </c>
      <c r="Z2" s="20" t="s">
        <v>0</v>
      </c>
      <c r="AA2" s="21" t="s">
        <v>8</v>
      </c>
      <c r="AB2" s="22" t="s">
        <v>12</v>
      </c>
      <c r="AC2" s="1"/>
      <c r="AD2" s="20" t="s">
        <v>4</v>
      </c>
      <c r="AE2" s="21" t="s">
        <v>3</v>
      </c>
      <c r="AF2" s="21" t="s">
        <v>11</v>
      </c>
      <c r="AG2" s="21" t="s">
        <v>5</v>
      </c>
      <c r="AH2" s="21" t="s">
        <v>6</v>
      </c>
      <c r="AI2" s="22" t="s">
        <v>7</v>
      </c>
      <c r="AJ2" s="1"/>
      <c r="AK2" s="1"/>
      <c r="AL2" s="20" t="s">
        <v>0</v>
      </c>
      <c r="AM2" s="21" t="s">
        <v>9</v>
      </c>
      <c r="AN2" s="22" t="s">
        <v>12</v>
      </c>
      <c r="AO2" s="1"/>
      <c r="AP2" s="20" t="s">
        <v>4</v>
      </c>
      <c r="AQ2" s="21" t="s">
        <v>3</v>
      </c>
      <c r="AR2" s="21" t="s">
        <v>11</v>
      </c>
      <c r="AS2" s="21" t="s">
        <v>5</v>
      </c>
      <c r="AT2" s="21" t="s">
        <v>6</v>
      </c>
      <c r="AU2" s="22" t="s">
        <v>7</v>
      </c>
      <c r="AV2" s="1"/>
    </row>
    <row r="3" spans="2:48" ht="17" thickBot="1" x14ac:dyDescent="0.25">
      <c r="B3" s="5">
        <v>0</v>
      </c>
      <c r="C3" s="6">
        <f>1/41</f>
        <v>2.4390243902439025E-2</v>
      </c>
      <c r="D3" s="7">
        <f>IF(AND(B3&gt;$J$3, B3&lt;$K$3), C3, 0)</f>
        <v>0</v>
      </c>
      <c r="F3" s="17">
        <f>40/2</f>
        <v>20</v>
      </c>
      <c r="G3" s="18">
        <f>(41*41- 1)/12</f>
        <v>140</v>
      </c>
      <c r="H3" s="18">
        <f>SQRT(G3)</f>
        <v>11.832159566199232</v>
      </c>
      <c r="I3" s="18">
        <f>1</f>
        <v>1</v>
      </c>
      <c r="J3" s="18">
        <f>F3-I3*H3</f>
        <v>8.1678404338007677</v>
      </c>
      <c r="K3" s="19">
        <f>F3+I3*H3</f>
        <v>31.83215956619923</v>
      </c>
      <c r="M3" s="1"/>
      <c r="N3" s="23">
        <v>0</v>
      </c>
      <c r="O3" s="24">
        <f>_xlfn.BINOM.DIST(N3, 40,0.5, FALSE)</f>
        <v>9.0949470177292824E-13</v>
      </c>
      <c r="P3" s="25">
        <f t="shared" ref="P3:P43" si="0">IF(AND(N3&gt;$V$3, N3&lt;$W$3), O3, 0)</f>
        <v>0</v>
      </c>
      <c r="Q3" s="1"/>
      <c r="R3" s="31">
        <f>40*0.5</f>
        <v>20</v>
      </c>
      <c r="S3" s="32">
        <f>40*0.5*0.5</f>
        <v>10</v>
      </c>
      <c r="T3" s="32">
        <f>SQRT(S3)</f>
        <v>3.1622776601683795</v>
      </c>
      <c r="U3" s="32">
        <v>1</v>
      </c>
      <c r="V3" s="32">
        <f>R3-U3*T3</f>
        <v>16.837722339831622</v>
      </c>
      <c r="W3" s="33">
        <f>R3+U3*T3</f>
        <v>23.162277660168378</v>
      </c>
      <c r="Z3" s="23">
        <v>0</v>
      </c>
      <c r="AA3" s="24">
        <f>_xlfn.POISSON.DIST(Z3,20,FALSE)</f>
        <v>2.0611536224385579E-9</v>
      </c>
      <c r="AB3" s="25">
        <f>IF(AND(Z3&gt;$AH$3, Z3&lt;$AI$3), AA3, 0)</f>
        <v>0</v>
      </c>
      <c r="AC3" s="1"/>
      <c r="AD3" s="31">
        <f>20</f>
        <v>20</v>
      </c>
      <c r="AE3" s="32">
        <f>20</f>
        <v>20</v>
      </c>
      <c r="AF3" s="32">
        <f>SQRT(AE3)</f>
        <v>4.4721359549995796</v>
      </c>
      <c r="AG3" s="32">
        <v>1</v>
      </c>
      <c r="AH3" s="32">
        <f>AD3-AG3*AF3</f>
        <v>15.52786404500042</v>
      </c>
      <c r="AI3" s="33">
        <f>AD3+AG3*AF3</f>
        <v>24.47213595499958</v>
      </c>
      <c r="AJ3" s="1"/>
      <c r="AK3" s="1"/>
      <c r="AL3" s="26">
        <v>0</v>
      </c>
      <c r="AM3" s="30">
        <f>(20/21)^AL3*(1/21)</f>
        <v>4.7619047619047616E-2</v>
      </c>
      <c r="AN3" s="35">
        <f>IF(AND(AL3&gt;=$AT$3, AL3&lt;=$AU$3), AM3, 0)</f>
        <v>4.7619047619047616E-2</v>
      </c>
      <c r="AO3" s="1"/>
      <c r="AP3" s="41">
        <f>(1-1/21)/(1/21)</f>
        <v>20</v>
      </c>
      <c r="AQ3" s="42">
        <f>(1-1/21)/(1/21)^2</f>
        <v>420.00000000000006</v>
      </c>
      <c r="AR3" s="42">
        <f>SQRT(AQ3)</f>
        <v>20.493901531919199</v>
      </c>
      <c r="AS3" s="42">
        <v>1</v>
      </c>
      <c r="AT3" s="42">
        <f>AP3-AR3*AS3</f>
        <v>-0.4939015319191995</v>
      </c>
      <c r="AU3" s="43">
        <f>AP3+AS3*AR3</f>
        <v>40.493901531919199</v>
      </c>
      <c r="AV3" s="1"/>
    </row>
    <row r="4" spans="2:48" x14ac:dyDescent="0.2">
      <c r="B4" s="8">
        <v>1</v>
      </c>
      <c r="C4" s="9">
        <f t="shared" ref="C4:C43" si="1">1/41</f>
        <v>2.4390243902439025E-2</v>
      </c>
      <c r="D4" s="10">
        <f t="shared" ref="D4:D43" si="2">IF(AND(B4&gt;$J$3, B4&lt;$K$3), C4, 0)</f>
        <v>0</v>
      </c>
      <c r="M4" s="1"/>
      <c r="N4" s="26">
        <v>1</v>
      </c>
      <c r="O4" s="27">
        <f t="shared" ref="O4:O43" si="3">_xlfn.BINOM.DIST(N4, 40,0.5, FALSE)</f>
        <v>3.6379788070917149E-11</v>
      </c>
      <c r="P4" s="28">
        <f t="shared" si="0"/>
        <v>0</v>
      </c>
      <c r="Q4" s="1"/>
      <c r="R4" s="1"/>
      <c r="S4" s="1"/>
      <c r="T4" s="1"/>
      <c r="U4" s="1"/>
      <c r="V4" s="1"/>
      <c r="W4" s="1"/>
      <c r="Z4" s="26">
        <v>1</v>
      </c>
      <c r="AA4" s="27">
        <f t="shared" ref="AA4:AA42" si="4">_xlfn.POISSON.DIST(Z4,20,FALSE)</f>
        <v>4.1223072448771152E-8</v>
      </c>
      <c r="AB4" s="28">
        <f t="shared" ref="AB4:AB43" si="5">IF(AND(Z4&gt;$AH$3, Z4&lt;$AI$3), AA4, 0)</f>
        <v>0</v>
      </c>
      <c r="AC4" s="1"/>
      <c r="AD4" s="1"/>
      <c r="AE4" s="1"/>
      <c r="AF4" s="1"/>
      <c r="AG4" s="1"/>
      <c r="AH4" s="1"/>
      <c r="AI4" s="1"/>
      <c r="AJ4" s="1"/>
      <c r="AK4" s="1"/>
      <c r="AL4" s="26">
        <v>1</v>
      </c>
      <c r="AM4" s="30">
        <f t="shared" ref="AM4:AM43" si="6">(20/21)^AL4*(1/21)</f>
        <v>4.5351473922902487E-2</v>
      </c>
      <c r="AN4" s="35">
        <f t="shared" ref="AN4:AN43" si="7">IF(AND(AL4&gt;=$AT$3, AL4&lt;=$AU$3), AM4, 0)</f>
        <v>4.5351473922902487E-2</v>
      </c>
      <c r="AO4" s="1"/>
      <c r="AP4" s="1"/>
      <c r="AQ4" s="1"/>
      <c r="AR4" s="1"/>
      <c r="AS4" s="1"/>
      <c r="AT4" s="1"/>
      <c r="AU4" s="1"/>
      <c r="AV4" s="1"/>
    </row>
    <row r="5" spans="2:48" x14ac:dyDescent="0.2">
      <c r="B5" s="8">
        <v>2</v>
      </c>
      <c r="C5" s="9">
        <f t="shared" si="1"/>
        <v>2.4390243902439025E-2</v>
      </c>
      <c r="D5" s="10">
        <f t="shared" si="2"/>
        <v>0</v>
      </c>
      <c r="M5" s="1"/>
      <c r="N5" s="26">
        <v>2</v>
      </c>
      <c r="O5" s="27">
        <f t="shared" si="3"/>
        <v>7.0940586738288651E-10</v>
      </c>
      <c r="P5" s="28">
        <f t="shared" si="0"/>
        <v>0</v>
      </c>
      <c r="Q5" s="1"/>
      <c r="R5" s="1"/>
      <c r="S5" s="1"/>
      <c r="T5" s="1"/>
      <c r="U5" s="1"/>
      <c r="V5" s="1"/>
      <c r="W5" s="1"/>
      <c r="Z5" s="26">
        <v>2</v>
      </c>
      <c r="AA5" s="27">
        <f t="shared" si="4"/>
        <v>4.1223072448771121E-7</v>
      </c>
      <c r="AB5" s="28">
        <f t="shared" si="5"/>
        <v>0</v>
      </c>
      <c r="AC5" s="1"/>
      <c r="AD5" s="1"/>
      <c r="AE5" s="1"/>
      <c r="AF5" s="1"/>
      <c r="AG5" s="1"/>
      <c r="AH5" s="1"/>
      <c r="AI5" s="1"/>
      <c r="AJ5" s="1"/>
      <c r="AK5" s="1"/>
      <c r="AL5" s="26">
        <v>2</v>
      </c>
      <c r="AM5" s="30">
        <f t="shared" si="6"/>
        <v>4.3191879926573799E-2</v>
      </c>
      <c r="AN5" s="35">
        <f t="shared" si="7"/>
        <v>4.3191879926573799E-2</v>
      </c>
      <c r="AO5" s="1"/>
      <c r="AP5" s="1"/>
      <c r="AQ5" s="1"/>
      <c r="AR5" s="1"/>
      <c r="AS5" s="1"/>
      <c r="AT5" s="1"/>
      <c r="AU5" s="1"/>
      <c r="AV5" s="1"/>
    </row>
    <row r="6" spans="2:48" x14ac:dyDescent="0.2">
      <c r="B6" s="8">
        <v>3</v>
      </c>
      <c r="C6" s="9">
        <f t="shared" si="1"/>
        <v>2.4390243902439025E-2</v>
      </c>
      <c r="D6" s="10">
        <f t="shared" si="2"/>
        <v>0</v>
      </c>
      <c r="M6" s="1"/>
      <c r="N6" s="26">
        <v>3</v>
      </c>
      <c r="O6" s="27">
        <f t="shared" si="3"/>
        <v>8.9858076535164896E-9</v>
      </c>
      <c r="P6" s="28">
        <f t="shared" si="0"/>
        <v>0</v>
      </c>
      <c r="Q6" s="1"/>
      <c r="R6" s="1"/>
      <c r="S6" s="1"/>
      <c r="T6" s="1"/>
      <c r="U6" s="1"/>
      <c r="V6" s="1"/>
      <c r="W6" s="1"/>
      <c r="Z6" s="26">
        <v>3</v>
      </c>
      <c r="AA6" s="27">
        <f t="shared" si="4"/>
        <v>2.7482048299180789E-6</v>
      </c>
      <c r="AB6" s="28">
        <f t="shared" si="5"/>
        <v>0</v>
      </c>
      <c r="AC6" s="1"/>
      <c r="AD6" s="1"/>
      <c r="AE6" s="1"/>
      <c r="AF6" s="1"/>
      <c r="AG6" s="1"/>
      <c r="AH6" s="1"/>
      <c r="AI6" s="1"/>
      <c r="AJ6" s="1"/>
      <c r="AK6" s="1"/>
      <c r="AL6" s="26">
        <v>3</v>
      </c>
      <c r="AM6" s="30">
        <f t="shared" si="6"/>
        <v>4.1135123739594097E-2</v>
      </c>
      <c r="AN6" s="35">
        <f t="shared" si="7"/>
        <v>4.1135123739594097E-2</v>
      </c>
      <c r="AO6" s="1"/>
      <c r="AP6" s="1"/>
      <c r="AQ6" s="1"/>
      <c r="AR6" s="1"/>
      <c r="AS6" s="1"/>
      <c r="AT6" s="1"/>
      <c r="AU6" s="1"/>
      <c r="AV6" s="1"/>
    </row>
    <row r="7" spans="2:48" x14ac:dyDescent="0.2">
      <c r="B7" s="8">
        <v>4</v>
      </c>
      <c r="C7" s="9">
        <f t="shared" si="1"/>
        <v>2.4390243902439025E-2</v>
      </c>
      <c r="D7" s="10">
        <f t="shared" si="2"/>
        <v>0</v>
      </c>
      <c r="M7" s="1"/>
      <c r="N7" s="26">
        <v>4</v>
      </c>
      <c r="O7" s="27">
        <f t="shared" si="3"/>
        <v>8.3118720795027925E-8</v>
      </c>
      <c r="P7" s="28">
        <f t="shared" si="0"/>
        <v>0</v>
      </c>
      <c r="Q7" s="1"/>
      <c r="R7" s="1"/>
      <c r="S7" s="1"/>
      <c r="T7" s="1"/>
      <c r="U7" s="1"/>
      <c r="V7" s="1"/>
      <c r="W7" s="1"/>
      <c r="Z7" s="26">
        <v>4</v>
      </c>
      <c r="AA7" s="27">
        <f t="shared" si="4"/>
        <v>1.3741024149590403E-5</v>
      </c>
      <c r="AB7" s="28">
        <f t="shared" si="5"/>
        <v>0</v>
      </c>
      <c r="AC7" s="1"/>
      <c r="AD7" s="1"/>
      <c r="AE7" s="1"/>
      <c r="AF7" s="1"/>
      <c r="AG7" s="1"/>
      <c r="AH7" s="1"/>
      <c r="AI7" s="1"/>
      <c r="AJ7" s="1"/>
      <c r="AK7" s="1"/>
      <c r="AL7" s="26">
        <v>4</v>
      </c>
      <c r="AM7" s="30">
        <f t="shared" si="6"/>
        <v>3.9176308323422941E-2</v>
      </c>
      <c r="AN7" s="35">
        <f t="shared" si="7"/>
        <v>3.9176308323422941E-2</v>
      </c>
      <c r="AO7" s="1"/>
      <c r="AP7" s="1"/>
      <c r="AQ7" s="1"/>
      <c r="AR7" s="1"/>
      <c r="AS7" s="1"/>
      <c r="AT7" s="1"/>
      <c r="AU7" s="1"/>
      <c r="AV7" s="1"/>
    </row>
    <row r="8" spans="2:48" x14ac:dyDescent="0.2">
      <c r="B8" s="8">
        <v>5</v>
      </c>
      <c r="C8" s="9">
        <f t="shared" si="1"/>
        <v>2.4390243902439025E-2</v>
      </c>
      <c r="D8" s="10">
        <f t="shared" si="2"/>
        <v>0</v>
      </c>
      <c r="M8" s="1"/>
      <c r="N8" s="26">
        <v>5</v>
      </c>
      <c r="O8" s="27">
        <f t="shared" si="3"/>
        <v>5.9845478972420139E-7</v>
      </c>
      <c r="P8" s="28">
        <f t="shared" si="0"/>
        <v>0</v>
      </c>
      <c r="Q8" s="1"/>
      <c r="R8" s="1"/>
      <c r="S8" s="1"/>
      <c r="T8" s="1"/>
      <c r="U8" s="1"/>
      <c r="V8" s="1"/>
      <c r="W8" s="1"/>
      <c r="Z8" s="26">
        <v>5</v>
      </c>
      <c r="AA8" s="27">
        <f t="shared" si="4"/>
        <v>5.4964096598361591E-5</v>
      </c>
      <c r="AB8" s="28">
        <f t="shared" si="5"/>
        <v>0</v>
      </c>
      <c r="AC8" s="1"/>
      <c r="AD8" s="1"/>
      <c r="AE8" s="1"/>
      <c r="AF8" s="1"/>
      <c r="AG8" s="1"/>
      <c r="AH8" s="1"/>
      <c r="AI8" s="1"/>
      <c r="AJ8" s="1"/>
      <c r="AK8" s="1"/>
      <c r="AL8" s="26">
        <v>5</v>
      </c>
      <c r="AM8" s="30">
        <f t="shared" si="6"/>
        <v>3.7310769831831375E-2</v>
      </c>
      <c r="AN8" s="35">
        <f t="shared" si="7"/>
        <v>3.7310769831831375E-2</v>
      </c>
      <c r="AO8" s="1"/>
      <c r="AP8" s="1"/>
      <c r="AQ8" s="1"/>
      <c r="AR8" s="1"/>
      <c r="AS8" s="1"/>
      <c r="AT8" s="1"/>
      <c r="AU8" s="1"/>
      <c r="AV8" s="1"/>
    </row>
    <row r="9" spans="2:48" x14ac:dyDescent="0.2">
      <c r="B9" s="8">
        <v>6</v>
      </c>
      <c r="C9" s="9">
        <f t="shared" si="1"/>
        <v>2.4390243902439025E-2</v>
      </c>
      <c r="D9" s="10">
        <f t="shared" si="2"/>
        <v>0</v>
      </c>
      <c r="M9" s="1"/>
      <c r="N9" s="26">
        <v>6</v>
      </c>
      <c r="O9" s="27">
        <f t="shared" si="3"/>
        <v>3.4909862733911799E-6</v>
      </c>
      <c r="P9" s="28">
        <f t="shared" si="0"/>
        <v>0</v>
      </c>
      <c r="Q9" s="1"/>
      <c r="R9" s="1"/>
      <c r="S9" s="1"/>
      <c r="T9" s="1"/>
      <c r="U9" s="1"/>
      <c r="V9" s="1"/>
      <c r="W9" s="1"/>
      <c r="Z9" s="26">
        <v>6</v>
      </c>
      <c r="AA9" s="27">
        <f t="shared" si="4"/>
        <v>1.8321365532787196E-4</v>
      </c>
      <c r="AB9" s="28">
        <f t="shared" si="5"/>
        <v>0</v>
      </c>
      <c r="AC9" s="1"/>
      <c r="AD9" s="1"/>
      <c r="AE9" s="1"/>
      <c r="AF9" s="1"/>
      <c r="AG9" s="1"/>
      <c r="AH9" s="1"/>
      <c r="AI9" s="1"/>
      <c r="AJ9" s="1"/>
      <c r="AK9" s="1"/>
      <c r="AL9" s="26">
        <v>6</v>
      </c>
      <c r="AM9" s="30">
        <f t="shared" si="6"/>
        <v>3.5534066506506069E-2</v>
      </c>
      <c r="AN9" s="35">
        <f t="shared" si="7"/>
        <v>3.5534066506506069E-2</v>
      </c>
      <c r="AO9" s="1"/>
      <c r="AP9" s="1"/>
      <c r="AQ9" s="1"/>
      <c r="AR9" s="1"/>
      <c r="AS9" s="1"/>
      <c r="AT9" s="1"/>
      <c r="AU9" s="1"/>
      <c r="AV9" s="1"/>
    </row>
    <row r="10" spans="2:48" x14ac:dyDescent="0.2">
      <c r="B10" s="8">
        <v>7</v>
      </c>
      <c r="C10" s="9">
        <f t="shared" si="1"/>
        <v>2.4390243902439025E-2</v>
      </c>
      <c r="D10" s="10">
        <f t="shared" si="2"/>
        <v>0</v>
      </c>
      <c r="M10" s="1"/>
      <c r="N10" s="26">
        <v>7</v>
      </c>
      <c r="O10" s="27">
        <f t="shared" si="3"/>
        <v>1.6956219042185785E-5</v>
      </c>
      <c r="P10" s="28">
        <f t="shared" si="0"/>
        <v>0</v>
      </c>
      <c r="Q10" s="1"/>
      <c r="R10" s="1"/>
      <c r="S10" s="1"/>
      <c r="T10" s="1"/>
      <c r="U10" s="1"/>
      <c r="V10" s="1"/>
      <c r="W10" s="1"/>
      <c r="Z10" s="26">
        <v>7</v>
      </c>
      <c r="AA10" s="27">
        <f t="shared" si="4"/>
        <v>5.2346758665106302E-4</v>
      </c>
      <c r="AB10" s="28">
        <f t="shared" si="5"/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26">
        <v>7</v>
      </c>
      <c r="AM10" s="30">
        <f t="shared" si="6"/>
        <v>3.3841968101434347E-2</v>
      </c>
      <c r="AN10" s="35">
        <f t="shared" si="7"/>
        <v>3.3841968101434347E-2</v>
      </c>
      <c r="AO10" s="1"/>
      <c r="AP10" s="1"/>
      <c r="AQ10" s="1"/>
      <c r="AR10" s="1"/>
      <c r="AS10" s="1"/>
      <c r="AT10" s="1"/>
      <c r="AU10" s="1"/>
      <c r="AV10" s="1"/>
    </row>
    <row r="11" spans="2:48" ht="17" thickBot="1" x14ac:dyDescent="0.25">
      <c r="B11" s="8">
        <v>8</v>
      </c>
      <c r="C11" s="9">
        <f t="shared" si="1"/>
        <v>2.4390243902439025E-2</v>
      </c>
      <c r="D11" s="11">
        <f t="shared" si="2"/>
        <v>0</v>
      </c>
      <c r="M11" s="1"/>
      <c r="N11" s="26">
        <v>8</v>
      </c>
      <c r="O11" s="27">
        <f t="shared" si="3"/>
        <v>6.9944403549015798E-5</v>
      </c>
      <c r="P11" s="28">
        <f t="shared" si="0"/>
        <v>0</v>
      </c>
      <c r="Q11" s="1"/>
      <c r="R11" s="1"/>
      <c r="S11" s="1"/>
      <c r="T11" s="1"/>
      <c r="U11" s="1"/>
      <c r="V11" s="1"/>
      <c r="W11" s="1"/>
      <c r="Z11" s="26">
        <v>8</v>
      </c>
      <c r="AA11" s="27">
        <f t="shared" si="4"/>
        <v>1.3086689666276553E-3</v>
      </c>
      <c r="AB11" s="28">
        <f t="shared" si="5"/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26">
        <v>8</v>
      </c>
      <c r="AM11" s="30">
        <f t="shared" si="6"/>
        <v>3.2230445810889859E-2</v>
      </c>
      <c r="AN11" s="35">
        <f t="shared" si="7"/>
        <v>3.2230445810889859E-2</v>
      </c>
      <c r="AO11" s="1"/>
      <c r="AP11" s="1"/>
      <c r="AQ11" s="1"/>
      <c r="AR11" s="1"/>
      <c r="AS11" s="1"/>
      <c r="AT11" s="1"/>
      <c r="AU11" s="1"/>
      <c r="AV11" s="1"/>
    </row>
    <row r="12" spans="2:48" x14ac:dyDescent="0.2">
      <c r="B12" s="8">
        <v>9</v>
      </c>
      <c r="C12" s="12">
        <f t="shared" si="1"/>
        <v>2.4390243902439025E-2</v>
      </c>
      <c r="D12" s="37">
        <f t="shared" si="2"/>
        <v>2.4390243902439025E-2</v>
      </c>
      <c r="M12" s="1"/>
      <c r="N12" s="26">
        <v>9</v>
      </c>
      <c r="O12" s="27">
        <f t="shared" si="3"/>
        <v>2.4869121261872281E-4</v>
      </c>
      <c r="P12" s="28">
        <f t="shared" si="0"/>
        <v>0</v>
      </c>
      <c r="Q12" s="1"/>
      <c r="R12" s="1"/>
      <c r="S12" s="1"/>
      <c r="T12" s="1"/>
      <c r="U12" s="1"/>
      <c r="V12" s="1"/>
      <c r="W12" s="1"/>
      <c r="Z12" s="26">
        <v>9</v>
      </c>
      <c r="AA12" s="27">
        <f t="shared" si="4"/>
        <v>2.9081532591725681E-3</v>
      </c>
      <c r="AB12" s="28">
        <f t="shared" si="5"/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26">
        <v>9</v>
      </c>
      <c r="AM12" s="30">
        <f t="shared" si="6"/>
        <v>3.0695662677037959E-2</v>
      </c>
      <c r="AN12" s="35">
        <f t="shared" si="7"/>
        <v>3.0695662677037959E-2</v>
      </c>
      <c r="AO12" s="1"/>
      <c r="AP12" s="1"/>
      <c r="AQ12" s="1"/>
      <c r="AR12" s="1"/>
      <c r="AS12" s="1"/>
      <c r="AT12" s="1"/>
      <c r="AU12" s="1"/>
      <c r="AV12" s="1"/>
    </row>
    <row r="13" spans="2:48" x14ac:dyDescent="0.2">
      <c r="B13" s="8">
        <v>10</v>
      </c>
      <c r="C13" s="12">
        <f t="shared" si="1"/>
        <v>2.4390243902439025E-2</v>
      </c>
      <c r="D13" s="38">
        <f t="shared" si="2"/>
        <v>2.4390243902439025E-2</v>
      </c>
      <c r="M13" s="1"/>
      <c r="N13" s="26">
        <v>10</v>
      </c>
      <c r="O13" s="27">
        <f t="shared" si="3"/>
        <v>7.7094275911804278E-4</v>
      </c>
      <c r="P13" s="28">
        <f t="shared" si="0"/>
        <v>0</v>
      </c>
      <c r="Q13" s="1"/>
      <c r="R13" s="1"/>
      <c r="S13" s="1"/>
      <c r="T13" s="1"/>
      <c r="U13" s="1"/>
      <c r="V13" s="1"/>
      <c r="W13" s="1"/>
      <c r="Z13" s="26">
        <v>10</v>
      </c>
      <c r="AA13" s="27">
        <f t="shared" si="4"/>
        <v>5.8163065183451353E-3</v>
      </c>
      <c r="AB13" s="28">
        <f t="shared" si="5"/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26">
        <v>10</v>
      </c>
      <c r="AM13" s="30">
        <f t="shared" si="6"/>
        <v>2.9233964454321859E-2</v>
      </c>
      <c r="AN13" s="35">
        <f t="shared" si="7"/>
        <v>2.9233964454321859E-2</v>
      </c>
      <c r="AO13" s="1"/>
      <c r="AP13" s="1"/>
      <c r="AQ13" s="1"/>
      <c r="AR13" s="1"/>
      <c r="AS13" s="1"/>
      <c r="AT13" s="1"/>
      <c r="AU13" s="1"/>
      <c r="AV13" s="1"/>
    </row>
    <row r="14" spans="2:48" x14ac:dyDescent="0.2">
      <c r="B14" s="8">
        <v>11</v>
      </c>
      <c r="C14" s="12">
        <f t="shared" si="1"/>
        <v>2.4390243902439025E-2</v>
      </c>
      <c r="D14" s="38">
        <f t="shared" si="2"/>
        <v>2.4390243902439025E-2</v>
      </c>
      <c r="M14" s="1"/>
      <c r="N14" s="26">
        <v>11</v>
      </c>
      <c r="O14" s="27">
        <f t="shared" si="3"/>
        <v>2.1025711612310239E-3</v>
      </c>
      <c r="P14" s="28">
        <f t="shared" si="0"/>
        <v>0</v>
      </c>
      <c r="Q14" s="1"/>
      <c r="R14" s="1"/>
      <c r="S14" s="1"/>
      <c r="T14" s="1"/>
      <c r="U14" s="1"/>
      <c r="V14" s="1"/>
      <c r="W14" s="1"/>
      <c r="Z14" s="26">
        <v>11</v>
      </c>
      <c r="AA14" s="27">
        <f t="shared" si="4"/>
        <v>1.0575102760627515E-2</v>
      </c>
      <c r="AB14" s="28">
        <f t="shared" si="5"/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26">
        <v>11</v>
      </c>
      <c r="AM14" s="30">
        <f t="shared" si="6"/>
        <v>2.7841870908877964E-2</v>
      </c>
      <c r="AN14" s="35">
        <f t="shared" si="7"/>
        <v>2.7841870908877964E-2</v>
      </c>
      <c r="AO14" s="1"/>
      <c r="AP14" s="1"/>
      <c r="AQ14" s="1"/>
      <c r="AR14" s="1"/>
      <c r="AS14" s="1"/>
      <c r="AT14" s="1"/>
      <c r="AU14" s="1"/>
      <c r="AV14" s="1"/>
    </row>
    <row r="15" spans="2:48" x14ac:dyDescent="0.2">
      <c r="B15" s="8">
        <v>12</v>
      </c>
      <c r="C15" s="12">
        <f t="shared" si="1"/>
        <v>2.4390243902439025E-2</v>
      </c>
      <c r="D15" s="38">
        <f t="shared" si="2"/>
        <v>2.4390243902439025E-2</v>
      </c>
      <c r="M15" s="1"/>
      <c r="N15" s="26">
        <v>12</v>
      </c>
      <c r="O15" s="27">
        <f t="shared" si="3"/>
        <v>5.0812136396416498E-3</v>
      </c>
      <c r="P15" s="28">
        <f t="shared" si="0"/>
        <v>0</v>
      </c>
      <c r="Q15" s="1"/>
      <c r="R15" s="1"/>
      <c r="S15" s="1"/>
      <c r="T15" s="1"/>
      <c r="U15" s="1"/>
      <c r="V15" s="1"/>
      <c r="W15" s="1"/>
      <c r="Z15" s="26">
        <v>12</v>
      </c>
      <c r="AA15" s="27">
        <f t="shared" si="4"/>
        <v>1.7625171267712545E-2</v>
      </c>
      <c r="AB15" s="28">
        <f t="shared" si="5"/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26">
        <v>12</v>
      </c>
      <c r="AM15" s="30">
        <f t="shared" si="6"/>
        <v>2.6516067532264726E-2</v>
      </c>
      <c r="AN15" s="35">
        <f t="shared" si="7"/>
        <v>2.6516067532264726E-2</v>
      </c>
      <c r="AO15" s="1"/>
      <c r="AP15" s="1"/>
      <c r="AQ15" s="1"/>
      <c r="AR15" s="1"/>
      <c r="AS15" s="1"/>
      <c r="AT15" s="1"/>
      <c r="AU15" s="1"/>
      <c r="AV15" s="1"/>
    </row>
    <row r="16" spans="2:48" x14ac:dyDescent="0.2">
      <c r="B16" s="8">
        <v>13</v>
      </c>
      <c r="C16" s="12">
        <f t="shared" si="1"/>
        <v>2.4390243902439025E-2</v>
      </c>
      <c r="D16" s="38">
        <f t="shared" si="2"/>
        <v>2.4390243902439025E-2</v>
      </c>
      <c r="M16" s="1"/>
      <c r="N16" s="26">
        <v>13</v>
      </c>
      <c r="O16" s="27">
        <f t="shared" si="3"/>
        <v>1.094415245461278E-2</v>
      </c>
      <c r="P16" s="28">
        <f t="shared" si="0"/>
        <v>0</v>
      </c>
      <c r="Q16" s="1"/>
      <c r="R16" s="1"/>
      <c r="S16" s="1"/>
      <c r="T16" s="1"/>
      <c r="U16" s="1"/>
      <c r="V16" s="1"/>
      <c r="W16" s="1"/>
      <c r="Z16" s="26">
        <v>13</v>
      </c>
      <c r="AA16" s="27">
        <f t="shared" si="4"/>
        <v>2.7115648104173135E-2</v>
      </c>
      <c r="AB16" s="28">
        <f t="shared" si="5"/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26">
        <v>13</v>
      </c>
      <c r="AM16" s="30">
        <f t="shared" si="6"/>
        <v>2.5253397649775928E-2</v>
      </c>
      <c r="AN16" s="35">
        <f t="shared" si="7"/>
        <v>2.5253397649775928E-2</v>
      </c>
      <c r="AO16" s="1"/>
      <c r="AP16" s="1"/>
      <c r="AQ16" s="1"/>
      <c r="AR16" s="1"/>
      <c r="AS16" s="1"/>
      <c r="AT16" s="1"/>
      <c r="AU16" s="1"/>
      <c r="AV16" s="1"/>
    </row>
    <row r="17" spans="2:48" x14ac:dyDescent="0.2">
      <c r="B17" s="8">
        <v>14</v>
      </c>
      <c r="C17" s="12">
        <f t="shared" si="1"/>
        <v>2.4390243902439025E-2</v>
      </c>
      <c r="D17" s="38">
        <f t="shared" si="2"/>
        <v>2.4390243902439025E-2</v>
      </c>
      <c r="M17" s="1"/>
      <c r="N17" s="26">
        <v>14</v>
      </c>
      <c r="O17" s="27">
        <f t="shared" si="3"/>
        <v>2.1106579733896052E-2</v>
      </c>
      <c r="P17" s="28">
        <f t="shared" si="0"/>
        <v>0</v>
      </c>
      <c r="Q17" s="1"/>
      <c r="R17" s="1"/>
      <c r="S17" s="1"/>
      <c r="T17" s="1"/>
      <c r="U17" s="1"/>
      <c r="V17" s="1"/>
      <c r="W17" s="1"/>
      <c r="Z17" s="26">
        <v>14</v>
      </c>
      <c r="AA17" s="27">
        <f t="shared" si="4"/>
        <v>3.8736640148818745E-2</v>
      </c>
      <c r="AB17" s="28">
        <f t="shared" si="5"/>
        <v>0</v>
      </c>
      <c r="AC17" s="1"/>
      <c r="AD17" s="1"/>
      <c r="AE17" s="1"/>
      <c r="AF17" s="1"/>
      <c r="AG17" s="1"/>
      <c r="AH17" s="1"/>
      <c r="AI17" s="1"/>
      <c r="AJ17" s="1"/>
      <c r="AK17" s="1"/>
      <c r="AL17" s="26">
        <v>14</v>
      </c>
      <c r="AM17" s="30">
        <f t="shared" si="6"/>
        <v>2.4050854904548502E-2</v>
      </c>
      <c r="AN17" s="35">
        <f t="shared" si="7"/>
        <v>2.4050854904548502E-2</v>
      </c>
      <c r="AO17" s="1"/>
      <c r="AP17" s="1"/>
      <c r="AQ17" s="1"/>
      <c r="AR17" s="1"/>
      <c r="AS17" s="1"/>
      <c r="AT17" s="1"/>
      <c r="AU17" s="1"/>
      <c r="AV17" s="1"/>
    </row>
    <row r="18" spans="2:48" ht="17" thickBot="1" x14ac:dyDescent="0.25">
      <c r="B18" s="8">
        <v>15</v>
      </c>
      <c r="C18" s="12">
        <f t="shared" si="1"/>
        <v>2.4390243902439025E-2</v>
      </c>
      <c r="D18" s="38">
        <f t="shared" si="2"/>
        <v>2.4390243902439025E-2</v>
      </c>
      <c r="M18" s="1"/>
      <c r="N18" s="26">
        <v>15</v>
      </c>
      <c r="O18" s="27">
        <f t="shared" si="3"/>
        <v>3.6584738205419853E-2</v>
      </c>
      <c r="P18" s="28">
        <f t="shared" si="0"/>
        <v>0</v>
      </c>
      <c r="Q18" s="1"/>
      <c r="R18" s="1"/>
      <c r="S18" s="1"/>
      <c r="T18" s="1"/>
      <c r="U18" s="1"/>
      <c r="V18" s="1"/>
      <c r="W18" s="1"/>
      <c r="Z18" s="26">
        <v>15</v>
      </c>
      <c r="AA18" s="27">
        <f t="shared" si="4"/>
        <v>5.1648853531758354E-2</v>
      </c>
      <c r="AB18" s="29">
        <f t="shared" si="5"/>
        <v>0</v>
      </c>
      <c r="AC18" s="1"/>
      <c r="AD18" s="1"/>
      <c r="AE18" s="1"/>
      <c r="AF18" s="1"/>
      <c r="AG18" s="1"/>
      <c r="AH18" s="1"/>
      <c r="AI18" s="1"/>
      <c r="AJ18" s="1"/>
      <c r="AK18" s="1"/>
      <c r="AL18" s="26">
        <v>15</v>
      </c>
      <c r="AM18" s="30">
        <f t="shared" si="6"/>
        <v>2.2905576099570002E-2</v>
      </c>
      <c r="AN18" s="35">
        <f t="shared" si="7"/>
        <v>2.2905576099570002E-2</v>
      </c>
      <c r="AO18" s="1"/>
      <c r="AP18" s="1"/>
      <c r="AQ18" s="1"/>
      <c r="AR18" s="1"/>
      <c r="AS18" s="1"/>
      <c r="AT18" s="1"/>
      <c r="AU18" s="1"/>
      <c r="AV18" s="1"/>
    </row>
    <row r="19" spans="2:48" ht="17" thickBot="1" x14ac:dyDescent="0.25">
      <c r="B19" s="8">
        <v>16</v>
      </c>
      <c r="C19" s="12">
        <f t="shared" si="1"/>
        <v>2.4390243902439025E-2</v>
      </c>
      <c r="D19" s="38">
        <f t="shared" si="2"/>
        <v>2.4390243902439025E-2</v>
      </c>
      <c r="M19" s="1"/>
      <c r="N19" s="26">
        <v>16</v>
      </c>
      <c r="O19" s="27">
        <f t="shared" si="3"/>
        <v>5.7163653445968521E-2</v>
      </c>
      <c r="P19" s="29">
        <f t="shared" si="0"/>
        <v>0</v>
      </c>
      <c r="Q19" s="1"/>
      <c r="R19" s="1"/>
      <c r="S19" s="1"/>
      <c r="T19" s="1"/>
      <c r="U19" s="1"/>
      <c r="V19" s="1"/>
      <c r="W19" s="1"/>
      <c r="Z19" s="26">
        <v>16</v>
      </c>
      <c r="AA19" s="30">
        <f t="shared" si="4"/>
        <v>6.4561066914697929E-2</v>
      </c>
      <c r="AB19" s="34">
        <f t="shared" si="5"/>
        <v>6.4561066914697929E-2</v>
      </c>
      <c r="AC19" s="1"/>
      <c r="AD19" s="1"/>
      <c r="AE19" s="1"/>
      <c r="AF19" s="1"/>
      <c r="AG19" s="1"/>
      <c r="AH19" s="1"/>
      <c r="AI19" s="1"/>
      <c r="AJ19" s="1"/>
      <c r="AK19" s="1"/>
      <c r="AL19" s="26">
        <v>16</v>
      </c>
      <c r="AM19" s="30">
        <f t="shared" si="6"/>
        <v>2.1814834380542859E-2</v>
      </c>
      <c r="AN19" s="35">
        <f t="shared" si="7"/>
        <v>2.1814834380542859E-2</v>
      </c>
      <c r="AO19" s="1"/>
      <c r="AP19" s="1"/>
      <c r="AQ19" s="1"/>
      <c r="AR19" s="1"/>
      <c r="AS19" s="1"/>
      <c r="AT19" s="1"/>
      <c r="AU19" s="1"/>
      <c r="AV19" s="1"/>
    </row>
    <row r="20" spans="2:48" x14ac:dyDescent="0.2">
      <c r="B20" s="8">
        <v>17</v>
      </c>
      <c r="C20" s="12">
        <f t="shared" si="1"/>
        <v>2.4390243902439025E-2</v>
      </c>
      <c r="D20" s="38">
        <f t="shared" si="2"/>
        <v>2.4390243902439025E-2</v>
      </c>
      <c r="M20" s="1"/>
      <c r="N20" s="26">
        <v>17</v>
      </c>
      <c r="O20" s="30">
        <f t="shared" si="3"/>
        <v>8.07016283943085E-2</v>
      </c>
      <c r="P20" s="34">
        <f t="shared" si="0"/>
        <v>8.07016283943085E-2</v>
      </c>
      <c r="Q20" s="1"/>
      <c r="R20" s="1"/>
      <c r="S20" s="1"/>
      <c r="T20" s="1"/>
      <c r="U20" s="1"/>
      <c r="V20" s="1"/>
      <c r="W20" s="1"/>
      <c r="Z20" s="26">
        <v>17</v>
      </c>
      <c r="AA20" s="30">
        <f t="shared" si="4"/>
        <v>7.595419637023286E-2</v>
      </c>
      <c r="AB20" s="35">
        <f t="shared" si="5"/>
        <v>7.595419637023286E-2</v>
      </c>
      <c r="AC20" s="1"/>
      <c r="AD20" s="1"/>
      <c r="AE20" s="1"/>
      <c r="AF20" s="1"/>
      <c r="AG20" s="1"/>
      <c r="AH20" s="1"/>
      <c r="AI20" s="1"/>
      <c r="AJ20" s="1"/>
      <c r="AK20" s="1"/>
      <c r="AL20" s="26">
        <v>17</v>
      </c>
      <c r="AM20" s="30">
        <f t="shared" si="6"/>
        <v>2.077603274337415E-2</v>
      </c>
      <c r="AN20" s="35">
        <f t="shared" si="7"/>
        <v>2.077603274337415E-2</v>
      </c>
      <c r="AO20" s="1"/>
      <c r="AP20" s="1"/>
      <c r="AQ20" s="1"/>
      <c r="AR20" s="1"/>
      <c r="AS20" s="1"/>
      <c r="AT20" s="1"/>
      <c r="AU20" s="1"/>
      <c r="AV20" s="1"/>
    </row>
    <row r="21" spans="2:48" x14ac:dyDescent="0.2">
      <c r="B21" s="8">
        <v>18</v>
      </c>
      <c r="C21" s="12">
        <f t="shared" si="1"/>
        <v>2.4390243902439025E-2</v>
      </c>
      <c r="D21" s="38">
        <f t="shared" si="2"/>
        <v>2.4390243902439025E-2</v>
      </c>
      <c r="M21" s="1"/>
      <c r="N21" s="26">
        <v>18</v>
      </c>
      <c r="O21" s="30">
        <f t="shared" si="3"/>
        <v>0.10311874739272751</v>
      </c>
      <c r="P21" s="35">
        <f t="shared" si="0"/>
        <v>0.10311874739272751</v>
      </c>
      <c r="Q21" s="1"/>
      <c r="R21" s="1"/>
      <c r="S21" s="1"/>
      <c r="T21" s="1"/>
      <c r="U21" s="1"/>
      <c r="V21" s="1"/>
      <c r="W21" s="1"/>
      <c r="Z21" s="26">
        <v>18</v>
      </c>
      <c r="AA21" s="30">
        <f t="shared" si="4"/>
        <v>8.4393551522480972E-2</v>
      </c>
      <c r="AB21" s="35">
        <f t="shared" si="5"/>
        <v>8.4393551522480972E-2</v>
      </c>
      <c r="AC21" s="1"/>
      <c r="AD21" s="1"/>
      <c r="AE21" s="1"/>
      <c r="AF21" s="1"/>
      <c r="AG21" s="1"/>
      <c r="AH21" s="1"/>
      <c r="AI21" s="1"/>
      <c r="AJ21" s="1"/>
      <c r="AK21" s="1"/>
      <c r="AL21" s="26">
        <v>18</v>
      </c>
      <c r="AM21" s="30">
        <f t="shared" si="6"/>
        <v>1.9786697850832525E-2</v>
      </c>
      <c r="AN21" s="35">
        <f t="shared" si="7"/>
        <v>1.9786697850832525E-2</v>
      </c>
      <c r="AO21" s="1"/>
      <c r="AP21" s="1"/>
      <c r="AQ21" s="1"/>
      <c r="AR21" s="1"/>
      <c r="AS21" s="1"/>
      <c r="AT21" s="1"/>
      <c r="AU21" s="1"/>
      <c r="AV21" s="1"/>
    </row>
    <row r="22" spans="2:48" x14ac:dyDescent="0.2">
      <c r="B22" s="8">
        <v>19</v>
      </c>
      <c r="C22" s="12">
        <f t="shared" si="1"/>
        <v>2.4390243902439025E-2</v>
      </c>
      <c r="D22" s="38">
        <f t="shared" si="2"/>
        <v>2.4390243902439025E-2</v>
      </c>
      <c r="M22" s="1"/>
      <c r="N22" s="26">
        <v>19</v>
      </c>
      <c r="O22" s="30">
        <f t="shared" si="3"/>
        <v>0.11940065487578974</v>
      </c>
      <c r="P22" s="35">
        <f t="shared" si="0"/>
        <v>0.11940065487578974</v>
      </c>
      <c r="Q22" s="1"/>
      <c r="R22" s="1"/>
      <c r="S22" s="1"/>
      <c r="T22" s="1"/>
      <c r="U22" s="1"/>
      <c r="V22" s="1"/>
      <c r="W22" s="1"/>
      <c r="Z22" s="26">
        <v>19</v>
      </c>
      <c r="AA22" s="30">
        <f t="shared" si="4"/>
        <v>8.8835317392085208E-2</v>
      </c>
      <c r="AB22" s="35">
        <f t="shared" si="5"/>
        <v>8.8835317392085208E-2</v>
      </c>
      <c r="AC22" s="1"/>
      <c r="AD22" s="1"/>
      <c r="AE22" s="1"/>
      <c r="AF22" s="1"/>
      <c r="AG22" s="1"/>
      <c r="AH22" s="1"/>
      <c r="AI22" s="1"/>
      <c r="AJ22" s="1"/>
      <c r="AK22" s="1"/>
      <c r="AL22" s="26">
        <v>19</v>
      </c>
      <c r="AM22" s="30">
        <f t="shared" si="6"/>
        <v>1.8844474143650022E-2</v>
      </c>
      <c r="AN22" s="35">
        <f t="shared" si="7"/>
        <v>1.8844474143650022E-2</v>
      </c>
      <c r="AO22" s="1"/>
      <c r="AP22" s="1"/>
      <c r="AQ22" s="1"/>
      <c r="AR22" s="1"/>
      <c r="AS22" s="1"/>
      <c r="AT22" s="1"/>
      <c r="AU22" s="1"/>
      <c r="AV22" s="1"/>
    </row>
    <row r="23" spans="2:48" x14ac:dyDescent="0.2">
      <c r="B23" s="8">
        <v>20</v>
      </c>
      <c r="C23" s="12">
        <f t="shared" si="1"/>
        <v>2.4390243902439025E-2</v>
      </c>
      <c r="D23" s="38">
        <f t="shared" si="2"/>
        <v>2.4390243902439025E-2</v>
      </c>
      <c r="M23" s="1"/>
      <c r="N23" s="26">
        <v>20</v>
      </c>
      <c r="O23" s="30">
        <f t="shared" si="3"/>
        <v>0.12537068761957929</v>
      </c>
      <c r="P23" s="35">
        <f t="shared" si="0"/>
        <v>0.12537068761957929</v>
      </c>
      <c r="Q23" s="1"/>
      <c r="R23" s="1"/>
      <c r="S23" s="1"/>
      <c r="T23" s="1"/>
      <c r="U23" s="1"/>
      <c r="V23" s="1"/>
      <c r="W23" s="1"/>
      <c r="Z23" s="26">
        <v>20</v>
      </c>
      <c r="AA23" s="30">
        <f t="shared" si="4"/>
        <v>8.8835317392085222E-2</v>
      </c>
      <c r="AB23" s="35">
        <f t="shared" si="5"/>
        <v>8.8835317392085222E-2</v>
      </c>
      <c r="AC23" s="1"/>
      <c r="AD23" s="1"/>
      <c r="AE23" s="1"/>
      <c r="AF23" s="1"/>
      <c r="AG23" s="1"/>
      <c r="AH23" s="1"/>
      <c r="AI23" s="1"/>
      <c r="AJ23" s="1"/>
      <c r="AK23" s="1"/>
      <c r="AL23" s="26">
        <v>20</v>
      </c>
      <c r="AM23" s="30">
        <f t="shared" si="6"/>
        <v>1.794711823204764E-2</v>
      </c>
      <c r="AN23" s="35">
        <f t="shared" si="7"/>
        <v>1.794711823204764E-2</v>
      </c>
      <c r="AO23" s="1"/>
      <c r="AP23" s="1"/>
      <c r="AQ23" s="1"/>
      <c r="AR23" s="1"/>
      <c r="AS23" s="1"/>
      <c r="AT23" s="1"/>
      <c r="AU23" s="1"/>
      <c r="AV23" s="1"/>
    </row>
    <row r="24" spans="2:48" x14ac:dyDescent="0.2">
      <c r="B24" s="8">
        <v>21</v>
      </c>
      <c r="C24" s="12">
        <f t="shared" si="1"/>
        <v>2.4390243902439025E-2</v>
      </c>
      <c r="D24" s="38">
        <f t="shared" si="2"/>
        <v>2.4390243902439025E-2</v>
      </c>
      <c r="M24" s="1"/>
      <c r="N24" s="26">
        <v>21</v>
      </c>
      <c r="O24" s="30">
        <f t="shared" si="3"/>
        <v>0.11940065487578974</v>
      </c>
      <c r="P24" s="35">
        <f t="shared" si="0"/>
        <v>0.11940065487578974</v>
      </c>
      <c r="Q24" s="1"/>
      <c r="R24" s="1"/>
      <c r="S24" s="1"/>
      <c r="T24" s="1"/>
      <c r="U24" s="1"/>
      <c r="V24" s="1"/>
      <c r="W24" s="1"/>
      <c r="Z24" s="26">
        <v>21</v>
      </c>
      <c r="AA24" s="30">
        <f t="shared" si="4"/>
        <v>8.4605064182938283E-2</v>
      </c>
      <c r="AB24" s="35">
        <f t="shared" si="5"/>
        <v>8.4605064182938283E-2</v>
      </c>
      <c r="AC24" s="1"/>
      <c r="AD24" s="1"/>
      <c r="AE24" s="1"/>
      <c r="AF24" s="1"/>
      <c r="AG24" s="1"/>
      <c r="AH24" s="1"/>
      <c r="AI24" s="1"/>
      <c r="AJ24" s="1"/>
      <c r="AK24" s="1"/>
      <c r="AL24" s="26">
        <v>21</v>
      </c>
      <c r="AM24" s="30">
        <f t="shared" si="6"/>
        <v>1.7092493554331081E-2</v>
      </c>
      <c r="AN24" s="35">
        <f t="shared" si="7"/>
        <v>1.7092493554331081E-2</v>
      </c>
      <c r="AO24" s="1"/>
      <c r="AP24" s="1"/>
      <c r="AQ24" s="1"/>
      <c r="AR24" s="1"/>
      <c r="AS24" s="1"/>
      <c r="AT24" s="1"/>
      <c r="AU24" s="1"/>
      <c r="AV24" s="1"/>
    </row>
    <row r="25" spans="2:48" x14ac:dyDescent="0.2">
      <c r="B25" s="8">
        <v>22</v>
      </c>
      <c r="C25" s="12">
        <f t="shared" si="1"/>
        <v>2.4390243902439025E-2</v>
      </c>
      <c r="D25" s="38">
        <f t="shared" si="2"/>
        <v>2.4390243902439025E-2</v>
      </c>
      <c r="M25" s="1"/>
      <c r="N25" s="26">
        <v>22</v>
      </c>
      <c r="O25" s="30">
        <f t="shared" si="3"/>
        <v>0.10311874739272751</v>
      </c>
      <c r="P25" s="35">
        <f t="shared" si="0"/>
        <v>0.10311874739272751</v>
      </c>
      <c r="Q25" s="1"/>
      <c r="R25" s="1"/>
      <c r="S25" s="1"/>
      <c r="T25" s="1"/>
      <c r="U25" s="1"/>
      <c r="V25" s="1"/>
      <c r="W25" s="1"/>
      <c r="Z25" s="26">
        <v>22</v>
      </c>
      <c r="AA25" s="30">
        <f t="shared" si="4"/>
        <v>7.6913694711762098E-2</v>
      </c>
      <c r="AB25" s="35">
        <f t="shared" si="5"/>
        <v>7.6913694711762098E-2</v>
      </c>
      <c r="AC25" s="1"/>
      <c r="AD25" s="1"/>
      <c r="AE25" s="1"/>
      <c r="AF25" s="1"/>
      <c r="AG25" s="1"/>
      <c r="AH25" s="1"/>
      <c r="AI25" s="1"/>
      <c r="AJ25" s="1"/>
      <c r="AK25" s="1"/>
      <c r="AL25" s="26">
        <v>22</v>
      </c>
      <c r="AM25" s="30">
        <f t="shared" si="6"/>
        <v>1.6278565289839127E-2</v>
      </c>
      <c r="AN25" s="35">
        <f t="shared" si="7"/>
        <v>1.6278565289839127E-2</v>
      </c>
      <c r="AO25" s="1"/>
      <c r="AP25" s="1"/>
      <c r="AQ25" s="1"/>
      <c r="AR25" s="1"/>
      <c r="AS25" s="1"/>
      <c r="AT25" s="1"/>
      <c r="AU25" s="1"/>
      <c r="AV25" s="1"/>
    </row>
    <row r="26" spans="2:48" ht="17" thickBot="1" x14ac:dyDescent="0.25">
      <c r="B26" s="8">
        <v>23</v>
      </c>
      <c r="C26" s="12">
        <f t="shared" si="1"/>
        <v>2.4390243902439025E-2</v>
      </c>
      <c r="D26" s="38">
        <f t="shared" si="2"/>
        <v>2.4390243902439025E-2</v>
      </c>
      <c r="M26" s="1"/>
      <c r="N26" s="26">
        <v>23</v>
      </c>
      <c r="O26" s="30">
        <f t="shared" si="3"/>
        <v>8.07016283943085E-2</v>
      </c>
      <c r="P26" s="36">
        <f t="shared" si="0"/>
        <v>8.07016283943085E-2</v>
      </c>
      <c r="Q26" s="1"/>
      <c r="R26" s="1"/>
      <c r="S26" s="1"/>
      <c r="T26" s="1"/>
      <c r="U26" s="1"/>
      <c r="V26" s="1"/>
      <c r="W26" s="1"/>
      <c r="Z26" s="26">
        <v>23</v>
      </c>
      <c r="AA26" s="30">
        <f t="shared" si="4"/>
        <v>6.6881473662401839E-2</v>
      </c>
      <c r="AB26" s="35">
        <f t="shared" si="5"/>
        <v>6.6881473662401839E-2</v>
      </c>
      <c r="AC26" s="1"/>
      <c r="AD26" s="1"/>
      <c r="AE26" s="1"/>
      <c r="AF26" s="1"/>
      <c r="AG26" s="1"/>
      <c r="AH26" s="1"/>
      <c r="AI26" s="1"/>
      <c r="AJ26" s="1"/>
      <c r="AK26" s="1"/>
      <c r="AL26" s="26">
        <v>23</v>
      </c>
      <c r="AM26" s="30">
        <f t="shared" si="6"/>
        <v>1.55033955141325E-2</v>
      </c>
      <c r="AN26" s="35">
        <f t="shared" si="7"/>
        <v>1.55033955141325E-2</v>
      </c>
      <c r="AO26" s="1"/>
      <c r="AP26" s="1"/>
      <c r="AQ26" s="1"/>
      <c r="AR26" s="1"/>
      <c r="AS26" s="1"/>
      <c r="AT26" s="1"/>
      <c r="AU26" s="1"/>
      <c r="AV26" s="1"/>
    </row>
    <row r="27" spans="2:48" ht="17" thickBot="1" x14ac:dyDescent="0.25">
      <c r="B27" s="8">
        <v>24</v>
      </c>
      <c r="C27" s="12">
        <f t="shared" si="1"/>
        <v>2.4390243902439025E-2</v>
      </c>
      <c r="D27" s="38">
        <f t="shared" si="2"/>
        <v>2.4390243902439025E-2</v>
      </c>
      <c r="M27" s="1"/>
      <c r="N27" s="26">
        <v>24</v>
      </c>
      <c r="O27" s="27">
        <f t="shared" si="3"/>
        <v>5.7163653445968521E-2</v>
      </c>
      <c r="P27" s="28">
        <f t="shared" si="0"/>
        <v>0</v>
      </c>
      <c r="Q27" s="1"/>
      <c r="R27" s="1"/>
      <c r="S27" s="1"/>
      <c r="T27" s="1"/>
      <c r="U27" s="1"/>
      <c r="V27" s="1"/>
      <c r="W27" s="1"/>
      <c r="Z27" s="26">
        <v>24</v>
      </c>
      <c r="AA27" s="30">
        <f t="shared" si="4"/>
        <v>5.5734561385334863E-2</v>
      </c>
      <c r="AB27" s="36">
        <f t="shared" si="5"/>
        <v>5.5734561385334863E-2</v>
      </c>
      <c r="AC27" s="1"/>
      <c r="AD27" s="1"/>
      <c r="AE27" s="1"/>
      <c r="AF27" s="1"/>
      <c r="AG27" s="1"/>
      <c r="AH27" s="1"/>
      <c r="AI27" s="1"/>
      <c r="AJ27" s="1"/>
      <c r="AK27" s="1"/>
      <c r="AL27" s="26">
        <v>24</v>
      </c>
      <c r="AM27" s="30">
        <f t="shared" si="6"/>
        <v>1.4765138584888095E-2</v>
      </c>
      <c r="AN27" s="35">
        <f t="shared" si="7"/>
        <v>1.4765138584888095E-2</v>
      </c>
      <c r="AO27" s="1"/>
      <c r="AP27" s="1"/>
      <c r="AQ27" s="1"/>
      <c r="AR27" s="1"/>
      <c r="AS27" s="1"/>
      <c r="AT27" s="1"/>
      <c r="AU27" s="1"/>
      <c r="AV27" s="1"/>
    </row>
    <row r="28" spans="2:48" x14ac:dyDescent="0.2">
      <c r="B28" s="8">
        <v>25</v>
      </c>
      <c r="C28" s="12">
        <f t="shared" si="1"/>
        <v>2.4390243902439025E-2</v>
      </c>
      <c r="D28" s="38">
        <f t="shared" si="2"/>
        <v>2.4390243902439025E-2</v>
      </c>
      <c r="M28" s="1"/>
      <c r="N28" s="26">
        <v>25</v>
      </c>
      <c r="O28" s="27">
        <f t="shared" si="3"/>
        <v>3.6584738205419853E-2</v>
      </c>
      <c r="P28" s="28">
        <f t="shared" si="0"/>
        <v>0</v>
      </c>
      <c r="Q28" s="1"/>
      <c r="R28" s="1"/>
      <c r="S28" s="1"/>
      <c r="T28" s="1"/>
      <c r="U28" s="1"/>
      <c r="V28" s="1"/>
      <c r="W28" s="1"/>
      <c r="Z28" s="26">
        <v>25</v>
      </c>
      <c r="AA28" s="27">
        <f t="shared" si="4"/>
        <v>4.4587649108267881E-2</v>
      </c>
      <c r="AB28" s="28">
        <f t="shared" si="5"/>
        <v>0</v>
      </c>
      <c r="AC28" s="1"/>
      <c r="AD28" s="1"/>
      <c r="AE28" s="1"/>
      <c r="AF28" s="1"/>
      <c r="AG28" s="1"/>
      <c r="AH28" s="1"/>
      <c r="AI28" s="1"/>
      <c r="AJ28" s="1"/>
      <c r="AK28" s="1"/>
      <c r="AL28" s="26">
        <v>25</v>
      </c>
      <c r="AM28" s="30">
        <f t="shared" si="6"/>
        <v>1.4062036747512472E-2</v>
      </c>
      <c r="AN28" s="35">
        <f t="shared" si="7"/>
        <v>1.4062036747512472E-2</v>
      </c>
      <c r="AO28" s="1"/>
      <c r="AP28" s="1"/>
      <c r="AQ28" s="1"/>
      <c r="AR28" s="1"/>
      <c r="AS28" s="1"/>
      <c r="AT28" s="1"/>
      <c r="AU28" s="1"/>
      <c r="AV28" s="1"/>
    </row>
    <row r="29" spans="2:48" x14ac:dyDescent="0.2">
      <c r="B29" s="8">
        <v>26</v>
      </c>
      <c r="C29" s="12">
        <f t="shared" si="1"/>
        <v>2.4390243902439025E-2</v>
      </c>
      <c r="D29" s="38">
        <f t="shared" si="2"/>
        <v>2.4390243902439025E-2</v>
      </c>
      <c r="M29" s="1"/>
      <c r="N29" s="26">
        <v>26</v>
      </c>
      <c r="O29" s="27">
        <f t="shared" si="3"/>
        <v>2.1106579733896052E-2</v>
      </c>
      <c r="P29" s="28">
        <f t="shared" si="0"/>
        <v>0</v>
      </c>
      <c r="Q29" s="1"/>
      <c r="R29" s="1"/>
      <c r="S29" s="1"/>
      <c r="T29" s="1"/>
      <c r="U29" s="1"/>
      <c r="V29" s="1"/>
      <c r="W29" s="1"/>
      <c r="Z29" s="26">
        <v>26</v>
      </c>
      <c r="AA29" s="27">
        <f t="shared" si="4"/>
        <v>3.4298191621744509E-2</v>
      </c>
      <c r="AB29" s="28">
        <f t="shared" si="5"/>
        <v>0</v>
      </c>
      <c r="AC29" s="1"/>
      <c r="AD29" s="1"/>
      <c r="AE29" s="1"/>
      <c r="AF29" s="1"/>
      <c r="AG29" s="1"/>
      <c r="AH29" s="1"/>
      <c r="AI29" s="1"/>
      <c r="AJ29" s="1"/>
      <c r="AK29" s="1"/>
      <c r="AL29" s="26">
        <v>26</v>
      </c>
      <c r="AM29" s="30">
        <f t="shared" si="6"/>
        <v>1.3392415950011876E-2</v>
      </c>
      <c r="AN29" s="35">
        <f t="shared" si="7"/>
        <v>1.3392415950011876E-2</v>
      </c>
      <c r="AO29" s="1"/>
      <c r="AP29" s="1"/>
      <c r="AQ29" s="1"/>
      <c r="AR29" s="1"/>
      <c r="AS29" s="1"/>
      <c r="AT29" s="1"/>
      <c r="AU29" s="1"/>
      <c r="AV29" s="1"/>
    </row>
    <row r="30" spans="2:48" x14ac:dyDescent="0.2">
      <c r="B30" s="8">
        <v>27</v>
      </c>
      <c r="C30" s="12">
        <f t="shared" si="1"/>
        <v>2.4390243902439025E-2</v>
      </c>
      <c r="D30" s="38">
        <f t="shared" si="2"/>
        <v>2.4390243902439025E-2</v>
      </c>
      <c r="M30" s="1"/>
      <c r="N30" s="26">
        <v>27</v>
      </c>
      <c r="O30" s="27">
        <f t="shared" si="3"/>
        <v>1.094415245461278E-2</v>
      </c>
      <c r="P30" s="28">
        <f t="shared" si="0"/>
        <v>0</v>
      </c>
      <c r="Q30" s="1"/>
      <c r="R30" s="1"/>
      <c r="S30" s="1"/>
      <c r="T30" s="1"/>
      <c r="U30" s="1"/>
      <c r="V30" s="1"/>
      <c r="W30" s="1"/>
      <c r="Z30" s="26">
        <v>27</v>
      </c>
      <c r="AA30" s="27">
        <f t="shared" si="4"/>
        <v>2.5406067867958917E-2</v>
      </c>
      <c r="AB30" s="28">
        <f t="shared" si="5"/>
        <v>0</v>
      </c>
      <c r="AC30" s="1"/>
      <c r="AD30" s="1"/>
      <c r="AE30" s="1"/>
      <c r="AF30" s="1"/>
      <c r="AG30" s="1"/>
      <c r="AH30" s="1"/>
      <c r="AI30" s="1"/>
      <c r="AJ30" s="1"/>
      <c r="AK30" s="1"/>
      <c r="AL30" s="26">
        <v>27</v>
      </c>
      <c r="AM30" s="30">
        <f t="shared" si="6"/>
        <v>1.2754681857154167E-2</v>
      </c>
      <c r="AN30" s="35">
        <f t="shared" si="7"/>
        <v>1.2754681857154167E-2</v>
      </c>
      <c r="AO30" s="1"/>
      <c r="AP30" s="1"/>
      <c r="AQ30" s="1"/>
      <c r="AR30" s="1"/>
      <c r="AS30" s="1"/>
      <c r="AT30" s="1"/>
      <c r="AU30" s="1"/>
      <c r="AV30" s="1"/>
    </row>
    <row r="31" spans="2:48" x14ac:dyDescent="0.2">
      <c r="B31" s="8">
        <v>28</v>
      </c>
      <c r="C31" s="12">
        <f t="shared" si="1"/>
        <v>2.4390243902439025E-2</v>
      </c>
      <c r="D31" s="38">
        <f t="shared" si="2"/>
        <v>2.4390243902439025E-2</v>
      </c>
      <c r="M31" s="1"/>
      <c r="N31" s="26">
        <v>28</v>
      </c>
      <c r="O31" s="27">
        <f t="shared" si="3"/>
        <v>5.0812136396416498E-3</v>
      </c>
      <c r="P31" s="28">
        <f t="shared" si="0"/>
        <v>0</v>
      </c>
      <c r="Q31" s="1"/>
      <c r="R31" s="1"/>
      <c r="S31" s="1"/>
      <c r="T31" s="1"/>
      <c r="U31" s="1"/>
      <c r="V31" s="1"/>
      <c r="W31" s="1"/>
      <c r="Z31" s="26">
        <v>28</v>
      </c>
      <c r="AA31" s="27">
        <f t="shared" si="4"/>
        <v>1.8147191334256366E-2</v>
      </c>
      <c r="AB31" s="28">
        <f t="shared" si="5"/>
        <v>0</v>
      </c>
      <c r="AC31" s="1"/>
      <c r="AD31" s="1"/>
      <c r="AE31" s="1"/>
      <c r="AF31" s="1"/>
      <c r="AG31" s="1"/>
      <c r="AH31" s="1"/>
      <c r="AI31" s="1"/>
      <c r="AJ31" s="1"/>
      <c r="AK31" s="1"/>
      <c r="AL31" s="26">
        <v>28</v>
      </c>
      <c r="AM31" s="30">
        <f t="shared" si="6"/>
        <v>1.214731605443254E-2</v>
      </c>
      <c r="AN31" s="35">
        <f t="shared" si="7"/>
        <v>1.214731605443254E-2</v>
      </c>
      <c r="AO31" s="1"/>
      <c r="AP31" s="1"/>
      <c r="AQ31" s="1"/>
      <c r="AR31" s="1"/>
      <c r="AS31" s="1"/>
      <c r="AT31" s="1"/>
      <c r="AU31" s="1"/>
      <c r="AV31" s="1"/>
    </row>
    <row r="32" spans="2:48" x14ac:dyDescent="0.2">
      <c r="B32" s="8">
        <v>29</v>
      </c>
      <c r="C32" s="12">
        <f t="shared" si="1"/>
        <v>2.4390243902439025E-2</v>
      </c>
      <c r="D32" s="38">
        <f t="shared" si="2"/>
        <v>2.4390243902439025E-2</v>
      </c>
      <c r="M32" s="1"/>
      <c r="N32" s="26">
        <v>29</v>
      </c>
      <c r="O32" s="27">
        <f t="shared" si="3"/>
        <v>2.1025711612310239E-3</v>
      </c>
      <c r="P32" s="28">
        <f t="shared" si="0"/>
        <v>0</v>
      </c>
      <c r="Q32" s="1"/>
      <c r="R32" s="1"/>
      <c r="S32" s="1"/>
      <c r="T32" s="1"/>
      <c r="U32" s="1"/>
      <c r="V32" s="1"/>
      <c r="W32" s="1"/>
      <c r="Z32" s="26">
        <v>29</v>
      </c>
      <c r="AA32" s="27">
        <f t="shared" si="4"/>
        <v>1.2515304368452655E-2</v>
      </c>
      <c r="AB32" s="28">
        <f t="shared" si="5"/>
        <v>0</v>
      </c>
      <c r="AC32" s="1"/>
      <c r="AD32" s="1"/>
      <c r="AE32" s="1"/>
      <c r="AF32" s="1"/>
      <c r="AG32" s="1"/>
      <c r="AH32" s="1"/>
      <c r="AI32" s="1"/>
      <c r="AJ32" s="1"/>
      <c r="AK32" s="1"/>
      <c r="AL32" s="26">
        <v>29</v>
      </c>
      <c r="AM32" s="30">
        <f t="shared" si="6"/>
        <v>1.1568872432792894E-2</v>
      </c>
      <c r="AN32" s="35">
        <f t="shared" si="7"/>
        <v>1.1568872432792894E-2</v>
      </c>
      <c r="AO32" s="1"/>
      <c r="AP32" s="1"/>
      <c r="AQ32" s="1"/>
      <c r="AR32" s="1"/>
      <c r="AS32" s="1"/>
      <c r="AT32" s="1"/>
      <c r="AU32" s="1"/>
      <c r="AV32" s="1"/>
    </row>
    <row r="33" spans="2:48" x14ac:dyDescent="0.2">
      <c r="B33" s="8">
        <v>30</v>
      </c>
      <c r="C33" s="12">
        <f t="shared" si="1"/>
        <v>2.4390243902439025E-2</v>
      </c>
      <c r="D33" s="38">
        <f t="shared" si="2"/>
        <v>2.4390243902439025E-2</v>
      </c>
      <c r="M33" s="1"/>
      <c r="N33" s="26">
        <v>30</v>
      </c>
      <c r="O33" s="27">
        <f t="shared" si="3"/>
        <v>7.7094275911804278E-4</v>
      </c>
      <c r="P33" s="28">
        <f t="shared" si="0"/>
        <v>0</v>
      </c>
      <c r="Q33" s="1"/>
      <c r="R33" s="1"/>
      <c r="S33" s="1"/>
      <c r="T33" s="1"/>
      <c r="U33" s="1"/>
      <c r="V33" s="1"/>
      <c r="W33" s="1"/>
      <c r="Z33" s="26">
        <v>30</v>
      </c>
      <c r="AA33" s="27">
        <f t="shared" si="4"/>
        <v>8.3435362456351133E-3</v>
      </c>
      <c r="AB33" s="28">
        <f t="shared" si="5"/>
        <v>0</v>
      </c>
      <c r="AC33" s="1"/>
      <c r="AD33" s="1"/>
      <c r="AE33" s="1"/>
      <c r="AF33" s="1"/>
      <c r="AG33" s="1"/>
      <c r="AH33" s="1"/>
      <c r="AI33" s="1"/>
      <c r="AJ33" s="1"/>
      <c r="AK33" s="1"/>
      <c r="AL33" s="26">
        <v>30</v>
      </c>
      <c r="AM33" s="30">
        <f t="shared" si="6"/>
        <v>1.1017973745517041E-2</v>
      </c>
      <c r="AN33" s="35">
        <f t="shared" si="7"/>
        <v>1.1017973745517041E-2</v>
      </c>
      <c r="AO33" s="1"/>
      <c r="AP33" s="1"/>
      <c r="AQ33" s="1"/>
      <c r="AR33" s="1"/>
      <c r="AS33" s="1"/>
      <c r="AT33" s="1"/>
      <c r="AU33" s="1"/>
      <c r="AV33" s="1"/>
    </row>
    <row r="34" spans="2:48" ht="17" thickBot="1" x14ac:dyDescent="0.25">
      <c r="B34" s="8">
        <v>31</v>
      </c>
      <c r="C34" s="12">
        <f t="shared" si="1"/>
        <v>2.4390243902439025E-2</v>
      </c>
      <c r="D34" s="39">
        <f t="shared" si="2"/>
        <v>2.4390243902439025E-2</v>
      </c>
      <c r="M34" s="1"/>
      <c r="N34" s="26">
        <v>31</v>
      </c>
      <c r="O34" s="27">
        <f t="shared" si="3"/>
        <v>2.4869121261872286E-4</v>
      </c>
      <c r="P34" s="28">
        <f t="shared" si="0"/>
        <v>0</v>
      </c>
      <c r="Q34" s="1"/>
      <c r="R34" s="1"/>
      <c r="S34" s="1"/>
      <c r="T34" s="1"/>
      <c r="U34" s="1"/>
      <c r="V34" s="1"/>
      <c r="W34" s="1"/>
      <c r="Z34" s="26">
        <v>31</v>
      </c>
      <c r="AA34" s="27">
        <f t="shared" si="4"/>
        <v>5.3829266100871558E-3</v>
      </c>
      <c r="AB34" s="28">
        <f t="shared" si="5"/>
        <v>0</v>
      </c>
      <c r="AC34" s="1"/>
      <c r="AD34" s="1"/>
      <c r="AE34" s="1"/>
      <c r="AF34" s="1"/>
      <c r="AG34" s="1"/>
      <c r="AH34" s="1"/>
      <c r="AI34" s="1"/>
      <c r="AJ34" s="1"/>
      <c r="AK34" s="1"/>
      <c r="AL34" s="26">
        <v>31</v>
      </c>
      <c r="AM34" s="30">
        <f t="shared" si="6"/>
        <v>1.0493308329063851E-2</v>
      </c>
      <c r="AN34" s="35">
        <f t="shared" si="7"/>
        <v>1.0493308329063851E-2</v>
      </c>
      <c r="AO34" s="1"/>
      <c r="AP34" s="1"/>
      <c r="AQ34" s="1"/>
      <c r="AR34" s="1"/>
      <c r="AS34" s="1"/>
      <c r="AT34" s="1"/>
      <c r="AU34" s="1"/>
      <c r="AV34" s="1"/>
    </row>
    <row r="35" spans="2:48" x14ac:dyDescent="0.2">
      <c r="B35" s="8">
        <v>32</v>
      </c>
      <c r="C35" s="9">
        <f t="shared" si="1"/>
        <v>2.4390243902439025E-2</v>
      </c>
      <c r="D35" s="13">
        <f t="shared" si="2"/>
        <v>0</v>
      </c>
      <c r="M35" s="1"/>
      <c r="N35" s="26">
        <v>32</v>
      </c>
      <c r="O35" s="27">
        <f t="shared" si="3"/>
        <v>6.9944403549015798E-5</v>
      </c>
      <c r="P35" s="28">
        <f t="shared" si="0"/>
        <v>0</v>
      </c>
      <c r="Q35" s="1"/>
      <c r="R35" s="1"/>
      <c r="S35" s="1"/>
      <c r="T35" s="1"/>
      <c r="U35" s="1"/>
      <c r="V35" s="1"/>
      <c r="W35" s="1"/>
      <c r="Z35" s="26">
        <v>32</v>
      </c>
      <c r="AA35" s="27">
        <f t="shared" si="4"/>
        <v>3.3643291313044709E-3</v>
      </c>
      <c r="AB35" s="28">
        <f t="shared" si="5"/>
        <v>0</v>
      </c>
      <c r="AC35" s="1"/>
      <c r="AD35" s="1"/>
      <c r="AE35" s="1"/>
      <c r="AF35" s="1"/>
      <c r="AG35" s="1"/>
      <c r="AH35" s="1"/>
      <c r="AI35" s="1"/>
      <c r="AJ35" s="1"/>
      <c r="AK35" s="1"/>
      <c r="AL35" s="26">
        <v>32</v>
      </c>
      <c r="AM35" s="30">
        <f t="shared" si="6"/>
        <v>9.9936269800608088E-3</v>
      </c>
      <c r="AN35" s="35">
        <f t="shared" si="7"/>
        <v>9.9936269800608088E-3</v>
      </c>
      <c r="AO35" s="1"/>
      <c r="AP35" s="1"/>
      <c r="AQ35" s="1"/>
      <c r="AR35" s="1"/>
      <c r="AS35" s="1"/>
      <c r="AT35" s="1"/>
      <c r="AU35" s="1"/>
      <c r="AV35" s="1"/>
    </row>
    <row r="36" spans="2:48" x14ac:dyDescent="0.2">
      <c r="B36" s="8">
        <v>33</v>
      </c>
      <c r="C36" s="9">
        <f t="shared" si="1"/>
        <v>2.4390243902439025E-2</v>
      </c>
      <c r="D36" s="10">
        <f t="shared" si="2"/>
        <v>0</v>
      </c>
      <c r="M36" s="1"/>
      <c r="N36" s="26">
        <v>33</v>
      </c>
      <c r="O36" s="27">
        <f t="shared" si="3"/>
        <v>1.6956219042185755E-5</v>
      </c>
      <c r="P36" s="28">
        <f t="shared" si="0"/>
        <v>0</v>
      </c>
      <c r="Q36" s="1"/>
      <c r="R36" s="1"/>
      <c r="S36" s="1"/>
      <c r="T36" s="1"/>
      <c r="U36" s="1"/>
      <c r="V36" s="1"/>
      <c r="W36" s="1"/>
      <c r="Z36" s="26">
        <v>33</v>
      </c>
      <c r="AA36" s="27">
        <f t="shared" si="4"/>
        <v>2.0389873523057505E-3</v>
      </c>
      <c r="AB36" s="28">
        <f t="shared" si="5"/>
        <v>0</v>
      </c>
      <c r="AC36" s="1"/>
      <c r="AD36" s="1"/>
      <c r="AE36" s="1"/>
      <c r="AF36" s="1"/>
      <c r="AG36" s="1"/>
      <c r="AH36" s="1"/>
      <c r="AI36" s="1"/>
      <c r="AJ36" s="1"/>
      <c r="AK36" s="1"/>
      <c r="AL36" s="26">
        <v>33</v>
      </c>
      <c r="AM36" s="30">
        <f t="shared" si="6"/>
        <v>9.5177399810102929E-3</v>
      </c>
      <c r="AN36" s="35">
        <f t="shared" si="7"/>
        <v>9.5177399810102929E-3</v>
      </c>
      <c r="AO36" s="1"/>
      <c r="AP36" s="1"/>
      <c r="AQ36" s="1"/>
      <c r="AR36" s="1"/>
      <c r="AS36" s="1"/>
      <c r="AT36" s="1"/>
      <c r="AU36" s="1"/>
      <c r="AV36" s="1"/>
    </row>
    <row r="37" spans="2:48" x14ac:dyDescent="0.2">
      <c r="B37" s="8">
        <v>34</v>
      </c>
      <c r="C37" s="9">
        <f t="shared" si="1"/>
        <v>2.4390243902439025E-2</v>
      </c>
      <c r="D37" s="10">
        <f t="shared" si="2"/>
        <v>0</v>
      </c>
      <c r="M37" s="1"/>
      <c r="N37" s="26">
        <v>34</v>
      </c>
      <c r="O37" s="27">
        <f t="shared" si="3"/>
        <v>3.490986273391174E-6</v>
      </c>
      <c r="P37" s="28">
        <f t="shared" si="0"/>
        <v>0</v>
      </c>
      <c r="Q37" s="1"/>
      <c r="R37" s="1"/>
      <c r="S37" s="1"/>
      <c r="T37" s="1"/>
      <c r="U37" s="1"/>
      <c r="V37" s="1"/>
      <c r="W37" s="1"/>
      <c r="Z37" s="26">
        <v>34</v>
      </c>
      <c r="AA37" s="27">
        <f t="shared" si="4"/>
        <v>1.199404324885734E-3</v>
      </c>
      <c r="AB37" s="28">
        <f t="shared" si="5"/>
        <v>0</v>
      </c>
      <c r="AC37" s="1"/>
      <c r="AD37" s="1"/>
      <c r="AE37" s="1"/>
      <c r="AF37" s="1"/>
      <c r="AG37" s="1"/>
      <c r="AH37" s="1"/>
      <c r="AI37" s="1"/>
      <c r="AJ37" s="1"/>
      <c r="AK37" s="1"/>
      <c r="AL37" s="26">
        <v>34</v>
      </c>
      <c r="AM37" s="30">
        <f t="shared" si="6"/>
        <v>9.0645142676288506E-3</v>
      </c>
      <c r="AN37" s="35">
        <f t="shared" si="7"/>
        <v>9.0645142676288506E-3</v>
      </c>
      <c r="AO37" s="1"/>
      <c r="AP37" s="1"/>
      <c r="AQ37" s="1"/>
      <c r="AR37" s="1"/>
      <c r="AS37" s="1"/>
      <c r="AT37" s="1"/>
      <c r="AU37" s="1"/>
      <c r="AV37" s="1"/>
    </row>
    <row r="38" spans="2:48" x14ac:dyDescent="0.2">
      <c r="B38" s="8">
        <v>35</v>
      </c>
      <c r="C38" s="9">
        <f t="shared" si="1"/>
        <v>2.4390243902439025E-2</v>
      </c>
      <c r="D38" s="10">
        <f t="shared" si="2"/>
        <v>0</v>
      </c>
      <c r="M38" s="1"/>
      <c r="N38" s="26">
        <v>35</v>
      </c>
      <c r="O38" s="27">
        <f t="shared" si="3"/>
        <v>5.9845478972420139E-7</v>
      </c>
      <c r="P38" s="28">
        <f t="shared" si="0"/>
        <v>0</v>
      </c>
      <c r="Q38" s="1"/>
      <c r="R38" s="1"/>
      <c r="S38" s="1"/>
      <c r="T38" s="1"/>
      <c r="U38" s="1"/>
      <c r="V38" s="1"/>
      <c r="W38" s="1"/>
      <c r="Z38" s="26">
        <v>35</v>
      </c>
      <c r="AA38" s="27">
        <f t="shared" si="4"/>
        <v>6.8537389993470344E-4</v>
      </c>
      <c r="AB38" s="28">
        <f t="shared" si="5"/>
        <v>0</v>
      </c>
      <c r="AC38" s="1"/>
      <c r="AD38" s="1"/>
      <c r="AE38" s="1"/>
      <c r="AF38" s="1"/>
      <c r="AG38" s="1"/>
      <c r="AH38" s="1"/>
      <c r="AI38" s="1"/>
      <c r="AJ38" s="1"/>
      <c r="AK38" s="1"/>
      <c r="AL38" s="26">
        <v>35</v>
      </c>
      <c r="AM38" s="30">
        <f t="shared" si="6"/>
        <v>8.6328707310750954E-3</v>
      </c>
      <c r="AN38" s="35">
        <f t="shared" si="7"/>
        <v>8.6328707310750954E-3</v>
      </c>
      <c r="AO38" s="1"/>
      <c r="AP38" s="1"/>
      <c r="AQ38" s="1"/>
      <c r="AR38" s="1"/>
      <c r="AS38" s="1"/>
      <c r="AT38" s="1"/>
      <c r="AU38" s="1"/>
      <c r="AV38" s="1"/>
    </row>
    <row r="39" spans="2:48" x14ac:dyDescent="0.2">
      <c r="B39" s="8">
        <v>36</v>
      </c>
      <c r="C39" s="9">
        <f t="shared" si="1"/>
        <v>2.4390243902439025E-2</v>
      </c>
      <c r="D39" s="10">
        <f t="shared" si="2"/>
        <v>0</v>
      </c>
      <c r="M39" s="1"/>
      <c r="N39" s="26">
        <v>36</v>
      </c>
      <c r="O39" s="27">
        <f t="shared" si="3"/>
        <v>8.3118720795027925E-8</v>
      </c>
      <c r="P39" s="28">
        <f t="shared" si="0"/>
        <v>0</v>
      </c>
      <c r="Q39" s="1"/>
      <c r="R39" s="1"/>
      <c r="S39" s="1"/>
      <c r="T39" s="1"/>
      <c r="U39" s="1"/>
      <c r="V39" s="1"/>
      <c r="W39" s="1"/>
      <c r="Z39" s="26">
        <v>36</v>
      </c>
      <c r="AA39" s="27">
        <f t="shared" si="4"/>
        <v>3.8076327774150232E-4</v>
      </c>
      <c r="AB39" s="28">
        <f t="shared" si="5"/>
        <v>0</v>
      </c>
      <c r="AC39" s="1"/>
      <c r="AD39" s="1"/>
      <c r="AE39" s="1"/>
      <c r="AF39" s="1"/>
      <c r="AG39" s="1"/>
      <c r="AH39" s="1"/>
      <c r="AI39" s="1"/>
      <c r="AJ39" s="1"/>
      <c r="AK39" s="1"/>
      <c r="AL39" s="26">
        <v>36</v>
      </c>
      <c r="AM39" s="30">
        <f t="shared" si="6"/>
        <v>8.2217816486429476E-3</v>
      </c>
      <c r="AN39" s="35">
        <f t="shared" si="7"/>
        <v>8.2217816486429476E-3</v>
      </c>
      <c r="AO39" s="1"/>
      <c r="AP39" s="1"/>
      <c r="AQ39" s="1"/>
      <c r="AR39" s="1"/>
      <c r="AS39" s="1"/>
      <c r="AT39" s="1"/>
      <c r="AU39" s="1"/>
      <c r="AV39" s="1"/>
    </row>
    <row r="40" spans="2:48" x14ac:dyDescent="0.2">
      <c r="B40" s="8">
        <v>37</v>
      </c>
      <c r="C40" s="9">
        <f t="shared" si="1"/>
        <v>2.4390243902439025E-2</v>
      </c>
      <c r="D40" s="10">
        <f t="shared" si="2"/>
        <v>0</v>
      </c>
      <c r="M40" s="1"/>
      <c r="N40" s="26">
        <v>37</v>
      </c>
      <c r="O40" s="27">
        <f t="shared" si="3"/>
        <v>8.9858076535164896E-9</v>
      </c>
      <c r="P40" s="28">
        <f t="shared" si="0"/>
        <v>0</v>
      </c>
      <c r="Q40" s="1"/>
      <c r="R40" s="1"/>
      <c r="S40" s="1"/>
      <c r="T40" s="1"/>
      <c r="U40" s="1"/>
      <c r="V40" s="1"/>
      <c r="W40" s="1"/>
      <c r="Z40" s="26">
        <v>37</v>
      </c>
      <c r="AA40" s="27">
        <f t="shared" si="4"/>
        <v>2.0581798796837891E-4</v>
      </c>
      <c r="AB40" s="28">
        <f t="shared" si="5"/>
        <v>0</v>
      </c>
      <c r="AC40" s="1"/>
      <c r="AD40" s="1"/>
      <c r="AE40" s="1"/>
      <c r="AF40" s="1"/>
      <c r="AG40" s="1"/>
      <c r="AH40" s="1"/>
      <c r="AI40" s="1"/>
      <c r="AJ40" s="1"/>
      <c r="AK40" s="1"/>
      <c r="AL40" s="26">
        <v>37</v>
      </c>
      <c r="AM40" s="30">
        <f t="shared" si="6"/>
        <v>7.8302682368028079E-3</v>
      </c>
      <c r="AN40" s="35">
        <f t="shared" si="7"/>
        <v>7.8302682368028079E-3</v>
      </c>
      <c r="AO40" s="1"/>
      <c r="AP40" s="1"/>
      <c r="AQ40" s="1"/>
      <c r="AR40" s="1"/>
      <c r="AS40" s="1"/>
      <c r="AT40" s="1"/>
      <c r="AU40" s="1"/>
      <c r="AV40" s="1"/>
    </row>
    <row r="41" spans="2:48" x14ac:dyDescent="0.2">
      <c r="B41" s="8">
        <v>38</v>
      </c>
      <c r="C41" s="9">
        <f t="shared" si="1"/>
        <v>2.4390243902439025E-2</v>
      </c>
      <c r="D41" s="10">
        <f t="shared" si="2"/>
        <v>0</v>
      </c>
      <c r="M41" s="1"/>
      <c r="N41" s="26">
        <v>38</v>
      </c>
      <c r="O41" s="27">
        <f t="shared" si="3"/>
        <v>7.0940586738288651E-10</v>
      </c>
      <c r="P41" s="28">
        <f t="shared" si="0"/>
        <v>0</v>
      </c>
      <c r="Q41" s="1"/>
      <c r="R41" s="1"/>
      <c r="S41" s="1"/>
      <c r="T41" s="1"/>
      <c r="U41" s="1"/>
      <c r="V41" s="1"/>
      <c r="W41" s="1"/>
      <c r="Z41" s="26">
        <v>38</v>
      </c>
      <c r="AA41" s="27">
        <f t="shared" si="4"/>
        <v>1.0832525682546335E-4</v>
      </c>
      <c r="AB41" s="28">
        <f t="shared" si="5"/>
        <v>0</v>
      </c>
      <c r="AC41" s="1"/>
      <c r="AD41" s="1"/>
      <c r="AE41" s="1"/>
      <c r="AF41" s="1"/>
      <c r="AG41" s="1"/>
      <c r="AH41" s="1"/>
      <c r="AI41" s="1"/>
      <c r="AJ41" s="1"/>
      <c r="AK41" s="1"/>
      <c r="AL41" s="26">
        <v>38</v>
      </c>
      <c r="AM41" s="30">
        <f t="shared" si="6"/>
        <v>7.4573983207645786E-3</v>
      </c>
      <c r="AN41" s="35">
        <f t="shared" si="7"/>
        <v>7.4573983207645786E-3</v>
      </c>
      <c r="AO41" s="1"/>
      <c r="AP41" s="1"/>
      <c r="AQ41" s="1"/>
      <c r="AR41" s="1"/>
      <c r="AS41" s="1"/>
      <c r="AT41" s="1"/>
      <c r="AU41" s="1"/>
      <c r="AV41" s="1"/>
    </row>
    <row r="42" spans="2:48" x14ac:dyDescent="0.2">
      <c r="B42" s="8">
        <v>39</v>
      </c>
      <c r="C42" s="9">
        <f t="shared" si="1"/>
        <v>2.4390243902439025E-2</v>
      </c>
      <c r="D42" s="10">
        <f t="shared" si="2"/>
        <v>0</v>
      </c>
      <c r="M42" s="1"/>
      <c r="N42" s="26">
        <v>39</v>
      </c>
      <c r="O42" s="27">
        <f t="shared" si="3"/>
        <v>3.6379788070917149E-11</v>
      </c>
      <c r="P42" s="28">
        <f t="shared" si="0"/>
        <v>0</v>
      </c>
      <c r="Q42" s="1"/>
      <c r="R42" s="1"/>
      <c r="S42" s="1"/>
      <c r="T42" s="1"/>
      <c r="U42" s="1"/>
      <c r="V42" s="1"/>
      <c r="W42" s="1"/>
      <c r="Z42" s="26">
        <v>39</v>
      </c>
      <c r="AA42" s="27">
        <f t="shared" si="4"/>
        <v>5.5551413756647715E-5</v>
      </c>
      <c r="AB42" s="28">
        <f t="shared" si="5"/>
        <v>0</v>
      </c>
      <c r="AC42" s="1"/>
      <c r="AD42" s="1"/>
      <c r="AE42" s="1"/>
      <c r="AF42" s="1"/>
      <c r="AG42" s="1"/>
      <c r="AH42" s="1"/>
      <c r="AI42" s="1"/>
      <c r="AJ42" s="1"/>
      <c r="AK42" s="1"/>
      <c r="AL42" s="26">
        <v>39</v>
      </c>
      <c r="AM42" s="30">
        <f t="shared" si="6"/>
        <v>7.1022841150138825E-3</v>
      </c>
      <c r="AN42" s="35">
        <f t="shared" si="7"/>
        <v>7.1022841150138825E-3</v>
      </c>
      <c r="AO42" s="1"/>
      <c r="AP42" s="1"/>
      <c r="AQ42" s="1"/>
      <c r="AR42" s="1"/>
      <c r="AS42" s="1"/>
      <c r="AT42" s="1"/>
      <c r="AU42" s="1"/>
      <c r="AV42" s="1"/>
    </row>
    <row r="43" spans="2:48" ht="17" thickBot="1" x14ac:dyDescent="0.25">
      <c r="B43" s="14">
        <v>40</v>
      </c>
      <c r="C43" s="15">
        <f t="shared" si="1"/>
        <v>2.4390243902439025E-2</v>
      </c>
      <c r="D43" s="16">
        <f t="shared" si="2"/>
        <v>0</v>
      </c>
      <c r="M43" s="1"/>
      <c r="N43" s="31">
        <v>40</v>
      </c>
      <c r="O43" s="32">
        <f t="shared" si="3"/>
        <v>9.0949470177292824E-13</v>
      </c>
      <c r="P43" s="33">
        <f t="shared" si="0"/>
        <v>0</v>
      </c>
      <c r="Q43" s="1"/>
      <c r="R43" s="1"/>
      <c r="S43" s="1"/>
      <c r="T43" s="1"/>
      <c r="U43" s="1"/>
      <c r="V43" s="1"/>
      <c r="W43" s="1"/>
      <c r="Z43" s="31">
        <v>40</v>
      </c>
      <c r="AA43" s="32">
        <f>_xlfn.POISSON.DIST(Z43,20,FALSE)</f>
        <v>2.7775706878323834E-5</v>
      </c>
      <c r="AB43" s="33">
        <f t="shared" si="5"/>
        <v>0</v>
      </c>
      <c r="AC43" s="1"/>
      <c r="AD43" s="1"/>
      <c r="AE43" s="1"/>
      <c r="AF43" s="1"/>
      <c r="AG43" s="1"/>
      <c r="AH43" s="1"/>
      <c r="AI43" s="1"/>
      <c r="AJ43" s="1"/>
      <c r="AK43" s="1"/>
      <c r="AL43" s="31">
        <v>40</v>
      </c>
      <c r="AM43" s="40">
        <f t="shared" si="6"/>
        <v>6.7640801095370318E-3</v>
      </c>
      <c r="AN43" s="36">
        <f t="shared" si="7"/>
        <v>6.7640801095370318E-3</v>
      </c>
      <c r="AO43" s="1"/>
      <c r="AP43" s="1"/>
      <c r="AQ43" s="1"/>
      <c r="AR43" s="1"/>
      <c r="AS43" s="1"/>
      <c r="AT43" s="1"/>
      <c r="AU43" s="1"/>
      <c r="AV43" s="1"/>
    </row>
    <row r="44" spans="2:48" x14ac:dyDescent="0.2"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2026-04-22T09:53:22Z</dcterms:created>
  <dcterms:modified xsi:type="dcterms:W3CDTF">2026-06-16T15:21:26Z</dcterms:modified>
</cp:coreProperties>
</file>