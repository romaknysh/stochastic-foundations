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C6BCDCA5-E94D-1F46-921F-8BA6EECFEA61}" xr6:coauthVersionLast="47" xr6:coauthVersionMax="47" xr10:uidLastSave="{00000000-0000-0000-0000-000000000000}"/>
  <bookViews>
    <workbookView xWindow="7700" yWindow="760" windowWidth="21700" windowHeight="17440" xr2:uid="{5F2851C1-00BB-8B40-AB98-1D83022E90A1}"/>
  </bookViews>
  <sheets>
    <sheet name="D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2" l="1"/>
  <c r="O8" i="2"/>
  <c r="O7" i="2"/>
  <c r="O14" i="2"/>
  <c r="P7" i="2" l="1"/>
  <c r="Q7" i="2"/>
  <c r="R7" i="2"/>
  <c r="S7" i="2"/>
  <c r="S8" i="2" s="1"/>
  <c r="T7" i="2"/>
  <c r="T8" i="2" s="1"/>
  <c r="U7" i="2"/>
  <c r="U8" i="2" s="1"/>
  <c r="V7" i="2"/>
  <c r="V8" i="2" s="1"/>
  <c r="W7" i="2"/>
  <c r="W8" i="2" s="1"/>
  <c r="X7" i="2"/>
  <c r="X8" i="2" s="1"/>
  <c r="Y7" i="2"/>
  <c r="Y8" i="2" s="1"/>
  <c r="Q8" i="2"/>
  <c r="P8" i="2"/>
  <c r="R8" i="2"/>
  <c r="B6" i="2"/>
  <c r="B7" i="2"/>
  <c r="C7" i="2"/>
  <c r="D7" i="2"/>
  <c r="E7" i="2"/>
  <c r="F7" i="2"/>
  <c r="G7" i="2"/>
  <c r="H7" i="2"/>
  <c r="I7" i="2"/>
  <c r="J7" i="2"/>
  <c r="K7" i="2"/>
  <c r="B8" i="2"/>
  <c r="C8" i="2"/>
  <c r="D8" i="2"/>
  <c r="E8" i="2"/>
  <c r="F8" i="2"/>
  <c r="G8" i="2"/>
  <c r="H8" i="2"/>
  <c r="I8" i="2"/>
  <c r="J8" i="2"/>
  <c r="K8" i="2"/>
  <c r="B9" i="2"/>
  <c r="C9" i="2"/>
  <c r="D9" i="2"/>
  <c r="E9" i="2"/>
  <c r="F9" i="2"/>
  <c r="G9" i="2"/>
  <c r="H9" i="2"/>
  <c r="I9" i="2"/>
  <c r="J9" i="2"/>
  <c r="K9" i="2"/>
  <c r="B10" i="2"/>
  <c r="C10" i="2"/>
  <c r="D10" i="2"/>
  <c r="E10" i="2"/>
  <c r="F10" i="2"/>
  <c r="G10" i="2"/>
  <c r="H10" i="2"/>
  <c r="I10" i="2"/>
  <c r="J10" i="2"/>
  <c r="K10" i="2"/>
  <c r="B11" i="2"/>
  <c r="C11" i="2"/>
  <c r="D11" i="2"/>
  <c r="E11" i="2"/>
  <c r="F11" i="2"/>
  <c r="G11" i="2"/>
  <c r="H11" i="2"/>
  <c r="I11" i="2"/>
  <c r="J11" i="2"/>
  <c r="K11" i="2"/>
  <c r="B12" i="2"/>
  <c r="C12" i="2"/>
  <c r="D12" i="2"/>
  <c r="E12" i="2"/>
  <c r="F12" i="2"/>
  <c r="G12" i="2"/>
  <c r="H12" i="2"/>
  <c r="I12" i="2"/>
  <c r="J12" i="2"/>
  <c r="K12" i="2"/>
  <c r="B13" i="2"/>
  <c r="C13" i="2"/>
  <c r="D13" i="2"/>
  <c r="E13" i="2"/>
  <c r="F13" i="2"/>
  <c r="G13" i="2"/>
  <c r="H13" i="2"/>
  <c r="I13" i="2"/>
  <c r="J13" i="2"/>
  <c r="K13" i="2"/>
  <c r="B14" i="2"/>
  <c r="C14" i="2"/>
  <c r="D14" i="2"/>
  <c r="E14" i="2"/>
  <c r="F14" i="2"/>
  <c r="G14" i="2"/>
  <c r="H14" i="2"/>
  <c r="I14" i="2"/>
  <c r="J14" i="2"/>
  <c r="K14" i="2"/>
  <c r="B15" i="2"/>
  <c r="C15" i="2"/>
  <c r="D15" i="2"/>
  <c r="E15" i="2"/>
  <c r="F15" i="2"/>
  <c r="G15" i="2"/>
  <c r="H15" i="2"/>
  <c r="I15" i="2"/>
  <c r="J15" i="2"/>
  <c r="K15" i="2"/>
  <c r="B16" i="2"/>
  <c r="C16" i="2"/>
  <c r="D16" i="2"/>
  <c r="E16" i="2"/>
  <c r="F16" i="2"/>
  <c r="G16" i="2"/>
  <c r="H16" i="2"/>
  <c r="I16" i="2"/>
  <c r="J16" i="2"/>
  <c r="K16" i="2"/>
  <c r="B17" i="2"/>
  <c r="C17" i="2"/>
  <c r="D17" i="2"/>
  <c r="E17" i="2"/>
  <c r="F17" i="2"/>
  <c r="G17" i="2"/>
  <c r="H17" i="2"/>
  <c r="I17" i="2"/>
  <c r="J17" i="2"/>
  <c r="K17" i="2"/>
  <c r="B18" i="2"/>
  <c r="C18" i="2"/>
  <c r="D18" i="2"/>
  <c r="E18" i="2"/>
  <c r="F18" i="2"/>
  <c r="G18" i="2"/>
  <c r="H18" i="2"/>
  <c r="I18" i="2"/>
  <c r="J18" i="2"/>
  <c r="K18" i="2"/>
  <c r="B19" i="2"/>
  <c r="C19" i="2"/>
  <c r="D19" i="2"/>
  <c r="E19" i="2"/>
  <c r="F19" i="2"/>
  <c r="G19" i="2"/>
  <c r="H19" i="2"/>
  <c r="I19" i="2"/>
  <c r="J19" i="2"/>
  <c r="K19" i="2"/>
  <c r="B20" i="2"/>
  <c r="C20" i="2"/>
  <c r="D20" i="2"/>
  <c r="E20" i="2"/>
  <c r="F20" i="2"/>
  <c r="G20" i="2"/>
  <c r="H20" i="2"/>
  <c r="I20" i="2"/>
  <c r="J20" i="2"/>
  <c r="K20" i="2"/>
  <c r="B21" i="2"/>
  <c r="C21" i="2"/>
  <c r="D21" i="2"/>
  <c r="E21" i="2"/>
  <c r="F21" i="2"/>
  <c r="G21" i="2"/>
  <c r="H21" i="2"/>
  <c r="I21" i="2"/>
  <c r="J21" i="2"/>
  <c r="K21" i="2"/>
  <c r="B22" i="2"/>
  <c r="C22" i="2"/>
  <c r="D22" i="2"/>
  <c r="E22" i="2"/>
  <c r="F22" i="2"/>
  <c r="G22" i="2"/>
  <c r="H22" i="2"/>
  <c r="I22" i="2"/>
  <c r="J22" i="2"/>
  <c r="K22" i="2"/>
  <c r="B23" i="2"/>
  <c r="C23" i="2"/>
  <c r="D23" i="2"/>
  <c r="E23" i="2"/>
  <c r="F23" i="2"/>
  <c r="G23" i="2"/>
  <c r="H23" i="2"/>
  <c r="I23" i="2"/>
  <c r="J23" i="2"/>
  <c r="K23" i="2"/>
  <c r="B24" i="2"/>
  <c r="C24" i="2"/>
  <c r="D24" i="2"/>
  <c r="E24" i="2"/>
  <c r="F24" i="2"/>
  <c r="G24" i="2"/>
  <c r="H24" i="2"/>
  <c r="I24" i="2"/>
  <c r="J24" i="2"/>
  <c r="K24" i="2"/>
  <c r="B25" i="2"/>
  <c r="C25" i="2"/>
  <c r="D25" i="2"/>
  <c r="E25" i="2"/>
  <c r="F25" i="2"/>
  <c r="G25" i="2"/>
  <c r="H25" i="2"/>
  <c r="I25" i="2"/>
  <c r="J25" i="2"/>
  <c r="K25" i="2"/>
  <c r="B26" i="2"/>
  <c r="C26" i="2"/>
  <c r="D26" i="2"/>
  <c r="E26" i="2"/>
  <c r="F26" i="2"/>
  <c r="G26" i="2"/>
  <c r="H26" i="2"/>
  <c r="I26" i="2"/>
  <c r="J26" i="2"/>
  <c r="K26" i="2"/>
  <c r="B27" i="2"/>
  <c r="C27" i="2"/>
  <c r="D27" i="2"/>
  <c r="E27" i="2"/>
  <c r="F27" i="2"/>
  <c r="G27" i="2"/>
  <c r="H27" i="2"/>
  <c r="I27" i="2"/>
  <c r="J27" i="2"/>
  <c r="K27" i="2"/>
  <c r="B28" i="2"/>
  <c r="C28" i="2"/>
  <c r="D28" i="2"/>
  <c r="E28" i="2"/>
  <c r="F28" i="2"/>
  <c r="G28" i="2"/>
  <c r="H28" i="2"/>
  <c r="I28" i="2"/>
  <c r="J28" i="2"/>
  <c r="K28" i="2"/>
  <c r="B29" i="2"/>
  <c r="C29" i="2"/>
  <c r="D29" i="2"/>
  <c r="E29" i="2"/>
  <c r="F29" i="2"/>
  <c r="G29" i="2"/>
  <c r="H29" i="2"/>
  <c r="I29" i="2"/>
  <c r="J29" i="2"/>
  <c r="K29" i="2"/>
  <c r="B30" i="2"/>
  <c r="C30" i="2"/>
  <c r="D30" i="2"/>
  <c r="E30" i="2"/>
  <c r="F30" i="2"/>
  <c r="G30" i="2"/>
  <c r="H30" i="2"/>
  <c r="I30" i="2"/>
  <c r="J30" i="2"/>
  <c r="K30" i="2"/>
  <c r="B31" i="2"/>
  <c r="C31" i="2"/>
  <c r="D31" i="2"/>
  <c r="E31" i="2"/>
  <c r="F31" i="2"/>
  <c r="G31" i="2"/>
  <c r="H31" i="2"/>
  <c r="I31" i="2"/>
  <c r="J31" i="2"/>
  <c r="K31" i="2"/>
  <c r="B32" i="2"/>
  <c r="C32" i="2"/>
  <c r="D32" i="2"/>
  <c r="E32" i="2"/>
  <c r="F32" i="2"/>
  <c r="G32" i="2"/>
  <c r="H32" i="2"/>
  <c r="I32" i="2"/>
  <c r="J32" i="2"/>
  <c r="K32" i="2"/>
  <c r="B33" i="2"/>
  <c r="C33" i="2"/>
  <c r="D33" i="2"/>
  <c r="E33" i="2"/>
  <c r="F33" i="2"/>
  <c r="G33" i="2"/>
  <c r="H33" i="2"/>
  <c r="I33" i="2"/>
  <c r="J33" i="2"/>
  <c r="K33" i="2"/>
  <c r="B34" i="2"/>
  <c r="C34" i="2"/>
  <c r="D34" i="2"/>
  <c r="E34" i="2"/>
  <c r="F34" i="2"/>
  <c r="G34" i="2"/>
  <c r="H34" i="2"/>
  <c r="I34" i="2"/>
  <c r="J34" i="2"/>
  <c r="K34" i="2"/>
  <c r="B35" i="2"/>
  <c r="C35" i="2"/>
  <c r="D35" i="2"/>
  <c r="E35" i="2"/>
  <c r="F35" i="2"/>
  <c r="G35" i="2"/>
  <c r="H35" i="2"/>
  <c r="I35" i="2"/>
  <c r="J35" i="2"/>
  <c r="K35" i="2"/>
  <c r="C6" i="2"/>
  <c r="D6" i="2"/>
  <c r="E6" i="2"/>
  <c r="F6" i="2"/>
  <c r="G6" i="2"/>
  <c r="H6" i="2"/>
  <c r="I6" i="2"/>
  <c r="J6" i="2"/>
  <c r="K6" i="2"/>
  <c r="B3" i="2"/>
  <c r="L7" i="2" l="1"/>
  <c r="L14" i="2"/>
  <c r="L6" i="2"/>
  <c r="L16" i="2"/>
  <c r="L17" i="2"/>
  <c r="L18" i="2"/>
  <c r="L35" i="2"/>
  <c r="L27" i="2"/>
  <c r="L28" i="2"/>
  <c r="L33" i="2"/>
  <c r="L31" i="2"/>
  <c r="L30" i="2"/>
  <c r="L25" i="2"/>
  <c r="L22" i="2"/>
  <c r="L20" i="2"/>
  <c r="L34" i="2"/>
  <c r="L24" i="2"/>
  <c r="L13" i="2"/>
  <c r="L12" i="2"/>
  <c r="L11" i="2"/>
  <c r="L10" i="2"/>
  <c r="L9" i="2"/>
  <c r="L32" i="2"/>
  <c r="L29" i="2"/>
  <c r="L23" i="2"/>
  <c r="L21" i="2"/>
  <c r="L19" i="2"/>
  <c r="L15" i="2"/>
  <c r="L8" i="2"/>
  <c r="L26" i="2"/>
  <c r="O6" i="2" l="1"/>
  <c r="O9" i="2" s="1"/>
  <c r="Q6" i="2"/>
  <c r="Q9" i="2" s="1"/>
  <c r="Q10" i="2" s="1"/>
  <c r="Q11" i="2" s="1"/>
  <c r="R6" i="2"/>
  <c r="R9" i="2" s="1"/>
  <c r="R10" i="2" s="1"/>
  <c r="R11" i="2" s="1"/>
  <c r="T6" i="2"/>
  <c r="T9" i="2" s="1"/>
  <c r="T10" i="2" s="1"/>
  <c r="T11" i="2" s="1"/>
  <c r="X6" i="2"/>
  <c r="X9" i="2" s="1"/>
  <c r="X10" i="2" s="1"/>
  <c r="X11" i="2" s="1"/>
  <c r="Y6" i="2"/>
  <c r="Y9" i="2" s="1"/>
  <c r="Y10" i="2" s="1"/>
  <c r="Y11" i="2" s="1"/>
  <c r="S6" i="2"/>
  <c r="S9" i="2" s="1"/>
  <c r="S10" i="2" s="1"/>
  <c r="S11" i="2" s="1"/>
  <c r="U6" i="2"/>
  <c r="U9" i="2" s="1"/>
  <c r="U10" i="2" s="1"/>
  <c r="U11" i="2" s="1"/>
  <c r="V6" i="2"/>
  <c r="V9" i="2" s="1"/>
  <c r="V10" i="2" s="1"/>
  <c r="V11" i="2" s="1"/>
  <c r="W6" i="2"/>
  <c r="W9" i="2" s="1"/>
  <c r="W10" i="2" s="1"/>
  <c r="W11" i="2" s="1"/>
  <c r="P6" i="2"/>
  <c r="P9" i="2" s="1"/>
  <c r="P10" i="2" s="1"/>
  <c r="P11" i="2" s="1"/>
  <c r="O10" i="2" l="1"/>
  <c r="O11" i="2" l="1"/>
  <c r="O13" i="2" s="1"/>
  <c r="O16" i="2" s="1"/>
</calcChain>
</file>

<file path=xl/sharedStrings.xml><?xml version="1.0" encoding="utf-8"?>
<sst xmlns="http://schemas.openxmlformats.org/spreadsheetml/2006/main" count="17" uniqueCount="17">
  <si>
    <t>nj</t>
  </si>
  <si>
    <t>npj</t>
  </si>
  <si>
    <t>A</t>
  </si>
  <si>
    <t>B</t>
  </si>
  <si>
    <t>n</t>
  </si>
  <si>
    <t>α</t>
  </si>
  <si>
    <t>count_A</t>
  </si>
  <si>
    <t>observed_freq</t>
  </si>
  <si>
    <t>theoretical_prob</t>
  </si>
  <si>
    <t>expected_freq</t>
  </si>
  <si>
    <t>difference</t>
  </si>
  <si>
    <t>squared_diff</t>
  </si>
  <si>
    <t>chi_term</t>
  </si>
  <si>
    <t>chi_statistic</t>
  </si>
  <si>
    <t>degrees_of_freedom</t>
  </si>
  <si>
    <t>critical_value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</si>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</sst>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/>
    <xf numFmtId="0" fontId="1" fillId="3" borderId="15" xfId="0" applyFont="1" applyFill="1" applyBorder="1"/>
    <xf numFmtId="0" fontId="2" fillId="0" borderId="10" xfId="0" applyFont="1" applyBorder="1"/>
    <xf numFmtId="0" fontId="0" fillId="4" borderId="16" xfId="0" applyFill="1" applyBorder="1"/>
    <xf numFmtId="0" fontId="0" fillId="4" borderId="15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3" xfId="0" applyFill="1" applyBorder="1"/>
    <xf numFmtId="0" fontId="0" fillId="5" borderId="2" xfId="0" applyFill="1" applyBorder="1"/>
    <xf numFmtId="0" fontId="2" fillId="6" borderId="8" xfId="0" applyFont="1" applyFill="1" applyBorder="1"/>
    <xf numFmtId="0" fontId="0" fillId="4" borderId="19" xfId="0" applyFill="1" applyBorder="1"/>
    <xf numFmtId="0" fontId="2" fillId="0" borderId="20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/>
    <xf numFmtId="0" fontId="2" fillId="0" borderId="25" xfId="0" applyFont="1" applyBorder="1"/>
    <xf numFmtId="0" fontId="0" fillId="0" borderId="26" xfId="0" applyBorder="1"/>
    <xf numFmtId="0" fontId="2" fillId="0" borderId="27" xfId="0" applyFont="1" applyBorder="1"/>
    <xf numFmtId="0" fontId="2" fillId="0" borderId="28" xfId="0" applyFont="1" applyBorder="1"/>
    <xf numFmtId="0" fontId="2" fillId="0" borderId="17" xfId="0" applyFont="1" applyBorder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DU!$O$6:$Y$6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5</c:v>
                </c:pt>
                <c:pt idx="7">
                  <c:v>9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1-3D44-A454-98553981C04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DU!$O$8:$Y$8</c:f>
              <c:numCache>
                <c:formatCode>General</c:formatCode>
                <c:ptCount val="11"/>
                <c:pt idx="0">
                  <c:v>3.1457280000000043E-3</c:v>
                </c:pt>
                <c:pt idx="1">
                  <c:v>4.7185919999999999E-2</c:v>
                </c:pt>
                <c:pt idx="2">
                  <c:v>0.31850496000000017</c:v>
                </c:pt>
                <c:pt idx="3">
                  <c:v>1.2740198400000002</c:v>
                </c:pt>
                <c:pt idx="4">
                  <c:v>3.3443020800000016</c:v>
                </c:pt>
                <c:pt idx="5">
                  <c:v>6.0197437440000021</c:v>
                </c:pt>
                <c:pt idx="6">
                  <c:v>7.5246796800000029</c:v>
                </c:pt>
                <c:pt idx="7">
                  <c:v>6.4497254400000017</c:v>
                </c:pt>
                <c:pt idx="8">
                  <c:v>3.6279705600000014</c:v>
                </c:pt>
                <c:pt idx="9">
                  <c:v>1.2093235199999994</c:v>
                </c:pt>
                <c:pt idx="10">
                  <c:v>0.181398528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31-3D44-A454-98553981C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6384512"/>
        <c:axId val="586386240"/>
      </c:barChart>
      <c:catAx>
        <c:axId val="5863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86240"/>
        <c:crosses val="autoZero"/>
        <c:auto val="1"/>
        <c:lblAlgn val="ctr"/>
        <c:lblOffset val="100"/>
        <c:noMultiLvlLbl val="0"/>
      </c:catAx>
      <c:valAx>
        <c:axId val="5863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38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12010</xdr:colOff>
      <xdr:row>17</xdr:row>
      <xdr:rowOff>69899</xdr:rowOff>
    </xdr:from>
    <xdr:to>
      <xdr:col>18</xdr:col>
      <xdr:colOff>299681</xdr:colOff>
      <xdr:row>30</xdr:row>
      <xdr:rowOff>186267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D46D88-C002-77CF-8FCE-F12F554C4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4B1B-7AA3-3C47-9FED-935512075FF5}">
  <dimension ref="A1:Y35"/>
  <sheetViews>
    <sheetView tabSelected="1" zoomScale="75" workbookViewId="0">
      <selection activeCell="O36" sqref="O36"/>
    </sheetView>
  </sheetViews>
  <sheetFormatPr baseColWidth="10" defaultRowHeight="16" x14ac:dyDescent="0.2"/>
  <cols>
    <col min="14" max="14" width="22" customWidth="1"/>
    <col min="15" max="15" width="12.6640625" bestFit="1" customWidth="1"/>
  </cols>
  <sheetData>
    <row r="1" spans="1:25" ht="17" thickBot="1" x14ac:dyDescent="0.25"/>
    <row r="2" spans="1:25" ht="17" thickBot="1" x14ac:dyDescent="0.25">
      <c r="A2" s="17" t="s">
        <v>2</v>
      </c>
      <c r="B2" s="3">
        <v>0.6</v>
      </c>
      <c r="D2" s="17" t="s">
        <v>4</v>
      </c>
      <c r="E2" s="3">
        <v>30</v>
      </c>
    </row>
    <row r="3" spans="1:25" ht="17" thickBot="1" x14ac:dyDescent="0.25">
      <c r="A3" s="18" t="s">
        <v>3</v>
      </c>
      <c r="B3" s="12">
        <f>1-B2</f>
        <v>0.4</v>
      </c>
      <c r="D3" s="17" t="s">
        <v>5</v>
      </c>
      <c r="E3" s="3">
        <v>0.05</v>
      </c>
    </row>
    <row r="4" spans="1:25" ht="17" thickBot="1" x14ac:dyDescent="0.25"/>
    <row r="5" spans="1:25" ht="17" thickBot="1" x14ac:dyDescent="0.25">
      <c r="A5" s="10"/>
      <c r="B5" s="22">
        <v>1</v>
      </c>
      <c r="C5" s="23">
        <v>2</v>
      </c>
      <c r="D5" s="23">
        <v>3</v>
      </c>
      <c r="E5" s="23">
        <v>4</v>
      </c>
      <c r="F5" s="23">
        <v>5</v>
      </c>
      <c r="G5" s="23">
        <v>6</v>
      </c>
      <c r="H5" s="23">
        <v>7</v>
      </c>
      <c r="I5" s="23">
        <v>8</v>
      </c>
      <c r="J5" s="23">
        <v>9</v>
      </c>
      <c r="K5" s="24">
        <v>10</v>
      </c>
      <c r="L5" s="25" t="s">
        <v>6</v>
      </c>
      <c r="O5" s="26">
        <v>0</v>
      </c>
      <c r="P5" s="22">
        <v>1</v>
      </c>
      <c r="Q5" s="23">
        <v>2</v>
      </c>
      <c r="R5" s="23">
        <v>3</v>
      </c>
      <c r="S5" s="23">
        <v>4</v>
      </c>
      <c r="T5" s="23">
        <v>5</v>
      </c>
      <c r="U5" s="23">
        <v>6</v>
      </c>
      <c r="V5" s="23">
        <v>7</v>
      </c>
      <c r="W5" s="23">
        <v>8</v>
      </c>
      <c r="X5" s="23">
        <v>9</v>
      </c>
      <c r="Y5" s="27">
        <v>10</v>
      </c>
    </row>
    <row r="6" spans="1:25" x14ac:dyDescent="0.2">
      <c r="A6" s="19">
        <v>1</v>
      </c>
      <c r="B6" s="8">
        <f ca="1">IF(RAND()&lt;$B$2, 1, 0)</f>
        <v>1</v>
      </c>
      <c r="C6" s="2">
        <f t="shared" ref="C6:K19" ca="1" si="0">IF(RAND()&lt;$B$2, 1, 0)</f>
        <v>0</v>
      </c>
      <c r="D6" s="2">
        <f t="shared" ca="1" si="0"/>
        <v>1</v>
      </c>
      <c r="E6" s="2">
        <f t="shared" ca="1" si="0"/>
        <v>1</v>
      </c>
      <c r="F6" s="2">
        <f t="shared" ca="1" si="0"/>
        <v>0</v>
      </c>
      <c r="G6" s="2">
        <f t="shared" ca="1" si="0"/>
        <v>1</v>
      </c>
      <c r="H6" s="2">
        <f t="shared" ca="1" si="0"/>
        <v>0</v>
      </c>
      <c r="I6" s="2">
        <f t="shared" ca="1" si="0"/>
        <v>1</v>
      </c>
      <c r="J6" s="2">
        <f t="shared" ca="1" si="0"/>
        <v>1</v>
      </c>
      <c r="K6" s="11">
        <f t="shared" ca="1" si="0"/>
        <v>0</v>
      </c>
      <c r="L6" s="13">
        <f ca="1">COUNTIF(B6:K6, 1)</f>
        <v>6</v>
      </c>
      <c r="N6" s="19" t="s">
        <v>7</v>
      </c>
      <c r="O6" s="28">
        <f ca="1">COUNTIF($L$6:$L$35, O5)</f>
        <v>0</v>
      </c>
      <c r="P6" s="29">
        <f ca="1">COUNTIF($L$6:$L$35, P5)</f>
        <v>0</v>
      </c>
      <c r="Q6" s="30">
        <f t="shared" ref="Q6:Y6" ca="1" si="1">COUNTIF($L$6:$L$35, Q5)</f>
        <v>0</v>
      </c>
      <c r="R6" s="30">
        <f t="shared" ca="1" si="1"/>
        <v>4</v>
      </c>
      <c r="S6" s="30">
        <f t="shared" ca="1" si="1"/>
        <v>3</v>
      </c>
      <c r="T6" s="30">
        <f t="shared" ca="1" si="1"/>
        <v>7</v>
      </c>
      <c r="U6" s="30">
        <f t="shared" ca="1" si="1"/>
        <v>5</v>
      </c>
      <c r="V6" s="30">
        <f t="shared" ca="1" si="1"/>
        <v>9</v>
      </c>
      <c r="W6" s="30">
        <f t="shared" ca="1" si="1"/>
        <v>1</v>
      </c>
      <c r="X6" s="30">
        <f t="shared" ca="1" si="1"/>
        <v>1</v>
      </c>
      <c r="Y6" s="31">
        <f t="shared" ca="1" si="1"/>
        <v>0</v>
      </c>
    </row>
    <row r="7" spans="1:25" x14ac:dyDescent="0.2">
      <c r="A7" s="20">
        <v>2</v>
      </c>
      <c r="B7" s="9">
        <f t="shared" ref="B7:B35" ca="1" si="2">IF(RAND()&lt;$B$2, 1, 0)</f>
        <v>1</v>
      </c>
      <c r="C7" s="1">
        <f t="shared" ca="1" si="0"/>
        <v>0</v>
      </c>
      <c r="D7" s="1">
        <f t="shared" ca="1" si="0"/>
        <v>1</v>
      </c>
      <c r="E7" s="1">
        <f t="shared" ca="1" si="0"/>
        <v>0</v>
      </c>
      <c r="F7" s="1">
        <f t="shared" ca="1" si="0"/>
        <v>1</v>
      </c>
      <c r="G7" s="1">
        <f t="shared" ca="1" si="0"/>
        <v>1</v>
      </c>
      <c r="H7" s="1">
        <f t="shared" ca="1" si="0"/>
        <v>1</v>
      </c>
      <c r="I7" s="1">
        <f t="shared" ca="1" si="0"/>
        <v>1</v>
      </c>
      <c r="J7" s="1">
        <f t="shared" ca="1" si="0"/>
        <v>0</v>
      </c>
      <c r="K7" s="4">
        <f t="shared" ca="1" si="0"/>
        <v>1</v>
      </c>
      <c r="L7" s="6">
        <f ca="1">COUNTIF(B7:K7, 1)</f>
        <v>7</v>
      </c>
      <c r="N7" s="20" t="s">
        <v>8</v>
      </c>
      <c r="O7" s="32">
        <f>_xlfn.BINOM.DIST(O5, 10, $B$2, FALSE)</f>
        <v>1.0485760000000014E-4</v>
      </c>
      <c r="P7" s="16">
        <f t="shared" ref="P7:Y7" si="3">_xlfn.BINOM.DIST(P5, 10, $B$2, FALSE)</f>
        <v>1.572864E-3</v>
      </c>
      <c r="Q7" s="16">
        <f t="shared" si="3"/>
        <v>1.0616832000000007E-2</v>
      </c>
      <c r="R7" s="16">
        <f t="shared" si="3"/>
        <v>4.2467328000000006E-2</v>
      </c>
      <c r="S7" s="16">
        <f t="shared" si="3"/>
        <v>0.11147673600000005</v>
      </c>
      <c r="T7" s="16">
        <f t="shared" si="3"/>
        <v>0.20065812480000006</v>
      </c>
      <c r="U7" s="16">
        <f t="shared" si="3"/>
        <v>0.25082265600000009</v>
      </c>
      <c r="V7" s="16">
        <f t="shared" si="3"/>
        <v>0.21499084800000007</v>
      </c>
      <c r="W7" s="16">
        <f t="shared" si="3"/>
        <v>0.12093235200000005</v>
      </c>
      <c r="X7" s="16">
        <f t="shared" si="3"/>
        <v>4.0310783999999981E-2</v>
      </c>
      <c r="Y7" s="33">
        <f t="shared" si="3"/>
        <v>6.0466176E-3</v>
      </c>
    </row>
    <row r="8" spans="1:25" x14ac:dyDescent="0.2">
      <c r="A8" s="20">
        <v>3</v>
      </c>
      <c r="B8" s="9">
        <f t="shared" ca="1" si="2"/>
        <v>0</v>
      </c>
      <c r="C8" s="1">
        <f t="shared" ca="1" si="0"/>
        <v>0</v>
      </c>
      <c r="D8" s="1">
        <f t="shared" ca="1" si="0"/>
        <v>0</v>
      </c>
      <c r="E8" s="1">
        <f t="shared" ca="1" si="0"/>
        <v>1</v>
      </c>
      <c r="F8" s="1">
        <f t="shared" ca="1" si="0"/>
        <v>1</v>
      </c>
      <c r="G8" s="1">
        <f t="shared" ca="1" si="0"/>
        <v>0</v>
      </c>
      <c r="H8" s="1">
        <f t="shared" ca="1" si="0"/>
        <v>0</v>
      </c>
      <c r="I8" s="1">
        <f t="shared" ca="1" si="0"/>
        <v>0</v>
      </c>
      <c r="J8" s="1">
        <f t="shared" ca="1" si="0"/>
        <v>1</v>
      </c>
      <c r="K8" s="4">
        <f t="shared" ca="1" si="0"/>
        <v>1</v>
      </c>
      <c r="L8" s="6">
        <f t="shared" ref="L8:L35" ca="1" si="4">COUNTIF(B8:K8, 1)</f>
        <v>4</v>
      </c>
      <c r="N8" s="20" t="s">
        <v>9</v>
      </c>
      <c r="O8" s="32">
        <f t="shared" ref="O8:Y8" si="5">$E$2*O7</f>
        <v>3.1457280000000043E-3</v>
      </c>
      <c r="P8" s="9">
        <f t="shared" si="5"/>
        <v>4.7185919999999999E-2</v>
      </c>
      <c r="Q8" s="1">
        <f t="shared" si="5"/>
        <v>0.31850496000000017</v>
      </c>
      <c r="R8" s="1">
        <f t="shared" si="5"/>
        <v>1.2740198400000002</v>
      </c>
      <c r="S8" s="1">
        <f t="shared" si="5"/>
        <v>3.3443020800000016</v>
      </c>
      <c r="T8" s="1">
        <f t="shared" si="5"/>
        <v>6.0197437440000021</v>
      </c>
      <c r="U8" s="1">
        <f t="shared" si="5"/>
        <v>7.5246796800000029</v>
      </c>
      <c r="V8" s="1">
        <f t="shared" si="5"/>
        <v>6.4497254400000017</v>
      </c>
      <c r="W8" s="1">
        <f t="shared" si="5"/>
        <v>3.6279705600000014</v>
      </c>
      <c r="X8" s="1">
        <f t="shared" si="5"/>
        <v>1.2093235199999994</v>
      </c>
      <c r="Y8" s="34">
        <f t="shared" si="5"/>
        <v>0.181398528</v>
      </c>
    </row>
    <row r="9" spans="1:25" x14ac:dyDescent="0.2">
      <c r="A9" s="20">
        <v>4</v>
      </c>
      <c r="B9" s="9">
        <f t="shared" ca="1" si="2"/>
        <v>1</v>
      </c>
      <c r="C9" s="1">
        <f t="shared" ca="1" si="0"/>
        <v>0</v>
      </c>
      <c r="D9" s="1">
        <f t="shared" ca="1" si="0"/>
        <v>0</v>
      </c>
      <c r="E9" s="1">
        <f t="shared" ca="1" si="0"/>
        <v>1</v>
      </c>
      <c r="F9" s="1">
        <f t="shared" ca="1" si="0"/>
        <v>1</v>
      </c>
      <c r="G9" s="1">
        <f t="shared" ca="1" si="0"/>
        <v>1</v>
      </c>
      <c r="H9" s="1">
        <f t="shared" ca="1" si="0"/>
        <v>1</v>
      </c>
      <c r="I9" s="1">
        <f t="shared" ca="1" si="0"/>
        <v>1</v>
      </c>
      <c r="J9" s="1">
        <f t="shared" ca="1" si="0"/>
        <v>1</v>
      </c>
      <c r="K9" s="4">
        <f t="shared" ca="1" si="0"/>
        <v>0</v>
      </c>
      <c r="L9" s="6">
        <f t="shared" ca="1" si="4"/>
        <v>7</v>
      </c>
      <c r="N9" s="20" t="s">
        <v>10</v>
      </c>
      <c r="O9" s="32">
        <f ca="1">O6-O8</f>
        <v>-3.1457280000000043E-3</v>
      </c>
      <c r="P9" s="9">
        <f ca="1">P6-P8</f>
        <v>-4.7185919999999999E-2</v>
      </c>
      <c r="Q9" s="1">
        <f t="shared" ref="Q9:Y9" ca="1" si="6">Q6-Q8</f>
        <v>-0.31850496000000017</v>
      </c>
      <c r="R9" s="1">
        <f t="shared" ca="1" si="6"/>
        <v>2.7259801599999998</v>
      </c>
      <c r="S9" s="1">
        <f t="shared" ca="1" si="6"/>
        <v>-0.34430208000000162</v>
      </c>
      <c r="T9" s="1">
        <f t="shared" ca="1" si="6"/>
        <v>0.98025625599999788</v>
      </c>
      <c r="U9" s="1">
        <f t="shared" ca="1" si="6"/>
        <v>-2.5246796800000029</v>
      </c>
      <c r="V9" s="1">
        <f t="shared" ca="1" si="6"/>
        <v>2.5502745599999983</v>
      </c>
      <c r="W9" s="1">
        <f t="shared" ca="1" si="6"/>
        <v>-2.6279705600000014</v>
      </c>
      <c r="X9" s="1">
        <f t="shared" ca="1" si="6"/>
        <v>-0.20932351999999943</v>
      </c>
      <c r="Y9" s="34">
        <f t="shared" ca="1" si="6"/>
        <v>-0.181398528</v>
      </c>
    </row>
    <row r="10" spans="1:25" x14ac:dyDescent="0.2">
      <c r="A10" s="20">
        <v>5</v>
      </c>
      <c r="B10" s="9">
        <f t="shared" ca="1" si="2"/>
        <v>0</v>
      </c>
      <c r="C10" s="1">
        <f t="shared" ca="1" si="0"/>
        <v>1</v>
      </c>
      <c r="D10" s="1">
        <f t="shared" ca="1" si="0"/>
        <v>0</v>
      </c>
      <c r="E10" s="1">
        <f t="shared" ca="1" si="0"/>
        <v>1</v>
      </c>
      <c r="F10" s="1">
        <f t="shared" ca="1" si="0"/>
        <v>1</v>
      </c>
      <c r="G10" s="1">
        <f t="shared" ca="1" si="0"/>
        <v>0</v>
      </c>
      <c r="H10" s="1">
        <f t="shared" ca="1" si="0"/>
        <v>1</v>
      </c>
      <c r="I10" s="1">
        <f t="shared" ca="1" si="0"/>
        <v>1</v>
      </c>
      <c r="J10" s="1">
        <f t="shared" ca="1" si="0"/>
        <v>0</v>
      </c>
      <c r="K10" s="4">
        <f t="shared" ca="1" si="0"/>
        <v>0</v>
      </c>
      <c r="L10" s="6">
        <f t="shared" ca="1" si="4"/>
        <v>5</v>
      </c>
      <c r="N10" s="20" t="s">
        <v>11</v>
      </c>
      <c r="O10" s="32">
        <f ca="1">O9*O9</f>
        <v>9.895604649984027E-6</v>
      </c>
      <c r="P10" s="9">
        <f ca="1">P9*P9</f>
        <v>2.2265110462464E-3</v>
      </c>
      <c r="Q10" s="1">
        <f t="shared" ref="Q10:Y10" ca="1" si="7">Q9*Q9</f>
        <v>0.10144540954460171</v>
      </c>
      <c r="R10" s="1">
        <f t="shared" ca="1" si="7"/>
        <v>7.4309678327136242</v>
      </c>
      <c r="S10" s="1">
        <f t="shared" ca="1" si="7"/>
        <v>0.11854392229232752</v>
      </c>
      <c r="T10" s="1">
        <f t="shared" ca="1" si="7"/>
        <v>0.96090232742713344</v>
      </c>
      <c r="U10" s="1">
        <f t="shared" ca="1" si="7"/>
        <v>6.374007486604917</v>
      </c>
      <c r="V10" s="1">
        <f t="shared" ca="1" si="7"/>
        <v>6.5039003313831847</v>
      </c>
      <c r="W10" s="1">
        <f t="shared" ca="1" si="7"/>
        <v>6.9062292642267211</v>
      </c>
      <c r="X10" s="1">
        <f t="shared" ca="1" si="7"/>
        <v>4.381633602519016E-2</v>
      </c>
      <c r="Y10" s="34">
        <f t="shared" ca="1" si="7"/>
        <v>3.2905425960566788E-2</v>
      </c>
    </row>
    <row r="11" spans="1:25" ht="17" thickBot="1" x14ac:dyDescent="0.25">
      <c r="A11" s="20">
        <v>6</v>
      </c>
      <c r="B11" s="9">
        <f t="shared" ca="1" si="2"/>
        <v>1</v>
      </c>
      <c r="C11" s="1">
        <f t="shared" ca="1" si="0"/>
        <v>0</v>
      </c>
      <c r="D11" s="1">
        <f t="shared" ca="1" si="0"/>
        <v>0</v>
      </c>
      <c r="E11" s="1">
        <f t="shared" ca="1" si="0"/>
        <v>0</v>
      </c>
      <c r="F11" s="1">
        <f t="shared" ca="1" si="0"/>
        <v>0</v>
      </c>
      <c r="G11" s="1">
        <f t="shared" ca="1" si="0"/>
        <v>1</v>
      </c>
      <c r="H11" s="1">
        <f t="shared" ca="1" si="0"/>
        <v>0</v>
      </c>
      <c r="I11" s="1">
        <f t="shared" ca="1" si="0"/>
        <v>1</v>
      </c>
      <c r="J11" s="1">
        <f t="shared" ca="1" si="0"/>
        <v>0</v>
      </c>
      <c r="K11" s="4">
        <f t="shared" ca="1" si="0"/>
        <v>0</v>
      </c>
      <c r="L11" s="6">
        <f t="shared" ca="1" si="4"/>
        <v>3</v>
      </c>
      <c r="N11" s="21" t="s">
        <v>12</v>
      </c>
      <c r="O11" s="35">
        <f ca="1">O10/O8</f>
        <v>3.1457280000000043E-3</v>
      </c>
      <c r="P11" s="36">
        <f t="shared" ref="P11:Y11" ca="1" si="8">P10/P8</f>
        <v>4.7185919999999999E-2</v>
      </c>
      <c r="Q11" s="36">
        <f t="shared" ca="1" si="8"/>
        <v>0.31850496000000017</v>
      </c>
      <c r="R11" s="36">
        <f t="shared" ca="1" si="8"/>
        <v>5.8326939655144008</v>
      </c>
      <c r="S11" s="36">
        <f t="shared" ca="1" si="8"/>
        <v>3.5446535467372454E-2</v>
      </c>
      <c r="T11" s="36">
        <f t="shared" ca="1" si="8"/>
        <v>0.15962512164822362</v>
      </c>
      <c r="U11" s="36">
        <f t="shared" ca="1" si="8"/>
        <v>0.84708024230539936</v>
      </c>
      <c r="V11" s="36">
        <f t="shared" ca="1" si="8"/>
        <v>1.0083995655144016</v>
      </c>
      <c r="W11" s="36">
        <f t="shared" ca="1" si="8"/>
        <v>1.9036067547986715</v>
      </c>
      <c r="X11" s="36">
        <f t="shared" ca="1" si="8"/>
        <v>3.6232104396009913E-2</v>
      </c>
      <c r="Y11" s="37">
        <f t="shared" ca="1" si="8"/>
        <v>0.18139852800000003</v>
      </c>
    </row>
    <row r="12" spans="1:25" ht="17" thickBot="1" x14ac:dyDescent="0.25">
      <c r="A12" s="20">
        <v>7</v>
      </c>
      <c r="B12" s="9">
        <f t="shared" ca="1" si="2"/>
        <v>0</v>
      </c>
      <c r="C12" s="1">
        <f t="shared" ca="1" si="0"/>
        <v>0</v>
      </c>
      <c r="D12" s="1">
        <f t="shared" ca="1" si="0"/>
        <v>1</v>
      </c>
      <c r="E12" s="1">
        <f t="shared" ca="1" si="0"/>
        <v>1</v>
      </c>
      <c r="F12" s="1">
        <f t="shared" ca="1" si="0"/>
        <v>0</v>
      </c>
      <c r="G12" s="1">
        <f t="shared" ca="1" si="0"/>
        <v>0</v>
      </c>
      <c r="H12" s="1">
        <f t="shared" ca="1" si="0"/>
        <v>1</v>
      </c>
      <c r="I12" s="1">
        <f t="shared" ca="1" si="0"/>
        <v>1</v>
      </c>
      <c r="J12" s="1">
        <f t="shared" ca="1" si="0"/>
        <v>0</v>
      </c>
      <c r="K12" s="4">
        <f t="shared" ca="1" si="0"/>
        <v>1</v>
      </c>
      <c r="L12" s="6">
        <f t="shared" ca="1" si="4"/>
        <v>5</v>
      </c>
    </row>
    <row r="13" spans="1:25" x14ac:dyDescent="0.2">
      <c r="A13" s="20">
        <v>8</v>
      </c>
      <c r="B13" s="9">
        <f t="shared" ca="1" si="2"/>
        <v>0</v>
      </c>
      <c r="C13" s="1">
        <f t="shared" ca="1" si="0"/>
        <v>0</v>
      </c>
      <c r="D13" s="1">
        <f t="shared" ca="1" si="0"/>
        <v>1</v>
      </c>
      <c r="E13" s="1">
        <f t="shared" ca="1" si="0"/>
        <v>1</v>
      </c>
      <c r="F13" s="1">
        <f t="shared" ca="1" si="0"/>
        <v>0</v>
      </c>
      <c r="G13" s="1">
        <f t="shared" ca="1" si="0"/>
        <v>1</v>
      </c>
      <c r="H13" s="1">
        <f t="shared" ca="1" si="0"/>
        <v>1</v>
      </c>
      <c r="I13" s="1">
        <f t="shared" ca="1" si="0"/>
        <v>0</v>
      </c>
      <c r="J13" s="1">
        <f t="shared" ca="1" si="0"/>
        <v>0</v>
      </c>
      <c r="K13" s="4">
        <f t="shared" ca="1" si="0"/>
        <v>0</v>
      </c>
      <c r="L13" s="6">
        <f t="shared" ca="1" si="4"/>
        <v>4</v>
      </c>
      <c r="N13" s="19" t="s">
        <v>13</v>
      </c>
      <c r="O13" s="5">
        <f ca="1">SUM(O11:Y11)</f>
        <v>10.37331942564448</v>
      </c>
    </row>
    <row r="14" spans="1:25" x14ac:dyDescent="0.2">
      <c r="A14" s="20">
        <v>9</v>
      </c>
      <c r="B14" s="9">
        <f t="shared" ca="1" si="2"/>
        <v>1</v>
      </c>
      <c r="C14" s="1">
        <f t="shared" ca="1" si="0"/>
        <v>0</v>
      </c>
      <c r="D14" s="1">
        <f t="shared" ca="1" si="0"/>
        <v>1</v>
      </c>
      <c r="E14" s="1">
        <f t="shared" ca="1" si="0"/>
        <v>0</v>
      </c>
      <c r="F14" s="1">
        <f t="shared" ca="1" si="0"/>
        <v>1</v>
      </c>
      <c r="G14" s="1">
        <f t="shared" ca="1" si="0"/>
        <v>0</v>
      </c>
      <c r="H14" s="1">
        <f t="shared" ca="1" si="0"/>
        <v>0</v>
      </c>
      <c r="I14" s="1">
        <f t="shared" ca="1" si="0"/>
        <v>1</v>
      </c>
      <c r="J14" s="1">
        <f t="shared" ca="1" si="0"/>
        <v>1</v>
      </c>
      <c r="K14" s="4">
        <f t="shared" ca="1" si="0"/>
        <v>1</v>
      </c>
      <c r="L14" s="6">
        <f t="shared" ca="1" si="4"/>
        <v>6</v>
      </c>
      <c r="N14" s="20" t="s">
        <v>14</v>
      </c>
      <c r="O14" s="6">
        <f>11-1-0</f>
        <v>10</v>
      </c>
    </row>
    <row r="15" spans="1:25" x14ac:dyDescent="0.2">
      <c r="A15" s="20">
        <v>10</v>
      </c>
      <c r="B15" s="9">
        <f t="shared" ca="1" si="2"/>
        <v>0</v>
      </c>
      <c r="C15" s="1">
        <f t="shared" ca="1" si="0"/>
        <v>1</v>
      </c>
      <c r="D15" s="1">
        <f t="shared" ca="1" si="0"/>
        <v>1</v>
      </c>
      <c r="E15" s="1">
        <f t="shared" ca="1" si="0"/>
        <v>1</v>
      </c>
      <c r="F15" s="1">
        <f t="shared" ca="1" si="0"/>
        <v>1</v>
      </c>
      <c r="G15" s="1">
        <f t="shared" ca="1" si="0"/>
        <v>1</v>
      </c>
      <c r="H15" s="1">
        <f t="shared" ca="1" si="0"/>
        <v>0</v>
      </c>
      <c r="I15" s="1">
        <f t="shared" ca="1" si="0"/>
        <v>1</v>
      </c>
      <c r="J15" s="1">
        <f t="shared" ca="1" si="0"/>
        <v>0</v>
      </c>
      <c r="K15" s="4">
        <f t="shared" ca="1" si="0"/>
        <v>0</v>
      </c>
      <c r="L15" s="6">
        <f t="shared" ca="1" si="4"/>
        <v>6</v>
      </c>
      <c r="N15" s="20" t="s">
        <v>15</v>
      </c>
      <c r="O15" s="6">
        <f>_xlfn.CHISQ.INV.RT(E3, O14)</f>
        <v>18.307038053275146</v>
      </c>
    </row>
    <row r="16" spans="1:25" ht="17" thickBot="1" x14ac:dyDescent="0.25">
      <c r="A16" s="20">
        <v>11</v>
      </c>
      <c r="B16" s="9">
        <f t="shared" ca="1" si="2"/>
        <v>0</v>
      </c>
      <c r="C16" s="1">
        <f t="shared" ca="1" si="0"/>
        <v>1</v>
      </c>
      <c r="D16" s="1">
        <f t="shared" ca="1" si="0"/>
        <v>0</v>
      </c>
      <c r="E16" s="1">
        <f t="shared" ca="1" si="0"/>
        <v>0</v>
      </c>
      <c r="F16" s="1">
        <f t="shared" ca="1" si="0"/>
        <v>1</v>
      </c>
      <c r="G16" s="1">
        <f t="shared" ca="1" si="0"/>
        <v>1</v>
      </c>
      <c r="H16" s="1">
        <f t="shared" ca="1" si="0"/>
        <v>1</v>
      </c>
      <c r="I16" s="1">
        <f t="shared" ca="1" si="0"/>
        <v>0</v>
      </c>
      <c r="J16" s="1">
        <f t="shared" ca="1" si="0"/>
        <v>1</v>
      </c>
      <c r="K16" s="4">
        <f t="shared" ca="1" si="0"/>
        <v>0</v>
      </c>
      <c r="L16" s="6">
        <f t="shared" ca="1" si="4"/>
        <v>5</v>
      </c>
      <c r="N16" s="21" t="s">
        <v>16</v>
      </c>
      <c r="O16" s="7" t="str">
        <f ca="1">IF(O13&lt;=O15,"H no rejected","H rejected")</f>
        <v>H no rejected</v>
      </c>
    </row>
    <row r="17" spans="1:20" x14ac:dyDescent="0.2">
      <c r="A17" s="20">
        <v>12</v>
      </c>
      <c r="B17" s="9">
        <f t="shared" ca="1" si="2"/>
        <v>1</v>
      </c>
      <c r="C17" s="1">
        <f t="shared" ca="1" si="0"/>
        <v>1</v>
      </c>
      <c r="D17" s="1">
        <f t="shared" ca="1" si="0"/>
        <v>0</v>
      </c>
      <c r="E17" s="1">
        <f t="shared" ca="1" si="0"/>
        <v>1</v>
      </c>
      <c r="F17" s="1">
        <f t="shared" ca="1" si="0"/>
        <v>0</v>
      </c>
      <c r="G17" s="1">
        <f t="shared" ca="1" si="0"/>
        <v>0</v>
      </c>
      <c r="H17" s="1">
        <f t="shared" ca="1" si="0"/>
        <v>1</v>
      </c>
      <c r="I17" s="1">
        <f t="shared" ca="1" si="0"/>
        <v>1</v>
      </c>
      <c r="J17" s="1">
        <f t="shared" ca="1" si="0"/>
        <v>0</v>
      </c>
      <c r="K17" s="4">
        <f t="shared" ca="1" si="0"/>
        <v>1</v>
      </c>
      <c r="L17" s="6">
        <f t="shared" ca="1" si="4"/>
        <v>6</v>
      </c>
    </row>
    <row r="18" spans="1:20" x14ac:dyDescent="0.2">
      <c r="A18" s="20">
        <v>13</v>
      </c>
      <c r="B18" s="9">
        <f t="shared" ca="1" si="2"/>
        <v>0</v>
      </c>
      <c r="C18" s="1">
        <f t="shared" ca="1" si="0"/>
        <v>0</v>
      </c>
      <c r="D18" s="1">
        <f t="shared" ca="1" si="0"/>
        <v>0</v>
      </c>
      <c r="E18" s="1">
        <f t="shared" ca="1" si="0"/>
        <v>0</v>
      </c>
      <c r="F18" s="1">
        <f t="shared" ca="1" si="0"/>
        <v>1</v>
      </c>
      <c r="G18" s="1">
        <f t="shared" ca="1" si="0"/>
        <v>0</v>
      </c>
      <c r="H18" s="1">
        <f t="shared" ca="1" si="0"/>
        <v>1</v>
      </c>
      <c r="I18" s="1">
        <f t="shared" ca="1" si="0"/>
        <v>1</v>
      </c>
      <c r="J18" s="1">
        <f t="shared" ca="1" si="0"/>
        <v>0</v>
      </c>
      <c r="K18" s="4">
        <f t="shared" ca="1" si="0"/>
        <v>1</v>
      </c>
      <c r="L18" s="6">
        <f t="shared" ca="1" si="4"/>
        <v>4</v>
      </c>
    </row>
    <row r="19" spans="1:20" x14ac:dyDescent="0.2">
      <c r="A19" s="20">
        <v>14</v>
      </c>
      <c r="B19" s="9">
        <f t="shared" ca="1" si="2"/>
        <v>1</v>
      </c>
      <c r="C19" s="1">
        <f t="shared" ca="1" si="0"/>
        <v>0</v>
      </c>
      <c r="D19" s="1">
        <f t="shared" ca="1" si="0"/>
        <v>0</v>
      </c>
      <c r="E19" s="1">
        <f t="shared" ca="1" si="0"/>
        <v>1</v>
      </c>
      <c r="F19" s="1">
        <f t="shared" ref="C19:K35" ca="1" si="9">IF(RAND()&lt;$B$2, 1, 0)</f>
        <v>1</v>
      </c>
      <c r="G19" s="1">
        <f t="shared" ca="1" si="9"/>
        <v>0</v>
      </c>
      <c r="H19" s="1">
        <f t="shared" ca="1" si="9"/>
        <v>1</v>
      </c>
      <c r="I19" s="1">
        <f t="shared" ca="1" si="9"/>
        <v>0</v>
      </c>
      <c r="J19" s="1">
        <f t="shared" ca="1" si="9"/>
        <v>0</v>
      </c>
      <c r="K19" s="4">
        <f t="shared" ca="1" si="9"/>
        <v>1</v>
      </c>
      <c r="L19" s="6">
        <f t="shared" ca="1" si="4"/>
        <v>5</v>
      </c>
    </row>
    <row r="20" spans="1:20" x14ac:dyDescent="0.2">
      <c r="A20" s="20">
        <v>15</v>
      </c>
      <c r="B20" s="9">
        <f t="shared" ca="1" si="2"/>
        <v>1</v>
      </c>
      <c r="C20" s="1">
        <f t="shared" ca="1" si="9"/>
        <v>0</v>
      </c>
      <c r="D20" s="1">
        <f t="shared" ca="1" si="9"/>
        <v>1</v>
      </c>
      <c r="E20" s="1">
        <f t="shared" ca="1" si="9"/>
        <v>0</v>
      </c>
      <c r="F20" s="1">
        <f t="shared" ca="1" si="9"/>
        <v>1</v>
      </c>
      <c r="G20" s="1">
        <f t="shared" ca="1" si="9"/>
        <v>0</v>
      </c>
      <c r="H20" s="1">
        <f t="shared" ca="1" si="9"/>
        <v>1</v>
      </c>
      <c r="I20" s="1">
        <f t="shared" ca="1" si="9"/>
        <v>1</v>
      </c>
      <c r="J20" s="1">
        <f t="shared" ca="1" si="9"/>
        <v>1</v>
      </c>
      <c r="K20" s="4">
        <f t="shared" ca="1" si="9"/>
        <v>1</v>
      </c>
      <c r="L20" s="6">
        <f t="shared" ca="1" si="4"/>
        <v>7</v>
      </c>
    </row>
    <row r="21" spans="1:20" x14ac:dyDescent="0.2">
      <c r="A21" s="20">
        <v>16</v>
      </c>
      <c r="B21" s="9">
        <f t="shared" ca="1" si="2"/>
        <v>0</v>
      </c>
      <c r="C21" s="1">
        <f t="shared" ca="1" si="9"/>
        <v>1</v>
      </c>
      <c r="D21" s="1">
        <f t="shared" ca="1" si="9"/>
        <v>1</v>
      </c>
      <c r="E21" s="1">
        <f t="shared" ca="1" si="9"/>
        <v>0</v>
      </c>
      <c r="F21" s="1">
        <f t="shared" ca="1" si="9"/>
        <v>0</v>
      </c>
      <c r="G21" s="1">
        <f t="shared" ca="1" si="9"/>
        <v>0</v>
      </c>
      <c r="H21" s="1">
        <f t="shared" ca="1" si="9"/>
        <v>0</v>
      </c>
      <c r="I21" s="1">
        <f t="shared" ca="1" si="9"/>
        <v>0</v>
      </c>
      <c r="J21" s="1">
        <f t="shared" ca="1" si="9"/>
        <v>0</v>
      </c>
      <c r="K21" s="4">
        <f t="shared" ca="1" si="9"/>
        <v>1</v>
      </c>
      <c r="L21" s="6">
        <f t="shared" ca="1" si="4"/>
        <v>3</v>
      </c>
    </row>
    <row r="22" spans="1:20" x14ac:dyDescent="0.2">
      <c r="A22" s="20">
        <v>17</v>
      </c>
      <c r="B22" s="9">
        <f t="shared" ca="1" si="2"/>
        <v>0</v>
      </c>
      <c r="C22" s="1">
        <f t="shared" ca="1" si="9"/>
        <v>1</v>
      </c>
      <c r="D22" s="1">
        <f t="shared" ca="1" si="9"/>
        <v>1</v>
      </c>
      <c r="E22" s="1">
        <f t="shared" ca="1" si="9"/>
        <v>0</v>
      </c>
      <c r="F22" s="1">
        <f t="shared" ca="1" si="9"/>
        <v>0</v>
      </c>
      <c r="G22" s="1">
        <f t="shared" ca="1" si="9"/>
        <v>0</v>
      </c>
      <c r="H22" s="1">
        <f t="shared" ca="1" si="9"/>
        <v>0</v>
      </c>
      <c r="I22" s="1">
        <f t="shared" ca="1" si="9"/>
        <v>0</v>
      </c>
      <c r="J22" s="1">
        <f t="shared" ca="1" si="9"/>
        <v>1</v>
      </c>
      <c r="K22" s="4">
        <f t="shared" ca="1" si="9"/>
        <v>0</v>
      </c>
      <c r="L22" s="6">
        <f t="shared" ca="1" si="4"/>
        <v>3</v>
      </c>
    </row>
    <row r="23" spans="1:20" x14ac:dyDescent="0.2">
      <c r="A23" s="20">
        <v>18</v>
      </c>
      <c r="B23" s="9">
        <f t="shared" ca="1" si="2"/>
        <v>1</v>
      </c>
      <c r="C23" s="1">
        <f t="shared" ca="1" si="9"/>
        <v>1</v>
      </c>
      <c r="D23" s="1">
        <f t="shared" ca="1" si="9"/>
        <v>0</v>
      </c>
      <c r="E23" s="1">
        <f t="shared" ca="1" si="9"/>
        <v>1</v>
      </c>
      <c r="F23" s="1">
        <f t="shared" ca="1" si="9"/>
        <v>1</v>
      </c>
      <c r="G23" s="1">
        <f t="shared" ca="1" si="9"/>
        <v>0</v>
      </c>
      <c r="H23" s="1">
        <f t="shared" ca="1" si="9"/>
        <v>1</v>
      </c>
      <c r="I23" s="1">
        <f t="shared" ca="1" si="9"/>
        <v>0</v>
      </c>
      <c r="J23" s="1">
        <f t="shared" ca="1" si="9"/>
        <v>1</v>
      </c>
      <c r="K23" s="4">
        <f t="shared" ca="1" si="9"/>
        <v>1</v>
      </c>
      <c r="L23" s="6">
        <f t="shared" ca="1" si="4"/>
        <v>7</v>
      </c>
    </row>
    <row r="24" spans="1:20" x14ac:dyDescent="0.2">
      <c r="A24" s="20">
        <v>19</v>
      </c>
      <c r="B24" s="9">
        <f t="shared" ca="1" si="2"/>
        <v>1</v>
      </c>
      <c r="C24" s="1">
        <f t="shared" ca="1" si="9"/>
        <v>1</v>
      </c>
      <c r="D24" s="1">
        <f t="shared" ca="1" si="9"/>
        <v>1</v>
      </c>
      <c r="E24" s="1">
        <f t="shared" ca="1" si="9"/>
        <v>0</v>
      </c>
      <c r="F24" s="1">
        <f t="shared" ca="1" si="9"/>
        <v>1</v>
      </c>
      <c r="G24" s="1">
        <f t="shared" ca="1" si="9"/>
        <v>0</v>
      </c>
      <c r="H24" s="1">
        <f t="shared" ca="1" si="9"/>
        <v>1</v>
      </c>
      <c r="I24" s="1">
        <f t="shared" ca="1" si="9"/>
        <v>1</v>
      </c>
      <c r="J24" s="1">
        <f t="shared" ca="1" si="9"/>
        <v>1</v>
      </c>
      <c r="K24" s="4">
        <f t="shared" ca="1" si="9"/>
        <v>0</v>
      </c>
      <c r="L24" s="6">
        <f t="shared" ca="1" si="4"/>
        <v>7</v>
      </c>
    </row>
    <row r="25" spans="1:20" x14ac:dyDescent="0.2">
      <c r="A25" s="20">
        <v>20</v>
      </c>
      <c r="B25" s="9">
        <f t="shared" ca="1" si="2"/>
        <v>1</v>
      </c>
      <c r="C25" s="1">
        <f t="shared" ca="1" si="9"/>
        <v>0</v>
      </c>
      <c r="D25" s="1">
        <f t="shared" ca="1" si="9"/>
        <v>1</v>
      </c>
      <c r="E25" s="1">
        <f t="shared" ca="1" si="9"/>
        <v>1</v>
      </c>
      <c r="F25" s="1">
        <f t="shared" ca="1" si="9"/>
        <v>1</v>
      </c>
      <c r="G25" s="1">
        <f t="shared" ca="1" si="9"/>
        <v>1</v>
      </c>
      <c r="H25" s="1">
        <f t="shared" ca="1" si="9"/>
        <v>0</v>
      </c>
      <c r="I25" s="1">
        <f t="shared" ca="1" si="9"/>
        <v>0</v>
      </c>
      <c r="J25" s="1">
        <f t="shared" ca="1" si="9"/>
        <v>0</v>
      </c>
      <c r="K25" s="4">
        <f t="shared" ca="1" si="9"/>
        <v>0</v>
      </c>
      <c r="L25" s="6">
        <f t="shared" ca="1" si="4"/>
        <v>5</v>
      </c>
    </row>
    <row r="26" spans="1:20" x14ac:dyDescent="0.2">
      <c r="A26" s="20">
        <v>21</v>
      </c>
      <c r="B26" s="9">
        <f t="shared" ca="1" si="2"/>
        <v>1</v>
      </c>
      <c r="C26" s="1">
        <f t="shared" ca="1" si="9"/>
        <v>1</v>
      </c>
      <c r="D26" s="1">
        <f t="shared" ca="1" si="9"/>
        <v>0</v>
      </c>
      <c r="E26" s="1">
        <f t="shared" ca="1" si="9"/>
        <v>0</v>
      </c>
      <c r="F26" s="1">
        <f t="shared" ca="1" si="9"/>
        <v>0</v>
      </c>
      <c r="G26" s="1">
        <f t="shared" ca="1" si="9"/>
        <v>1</v>
      </c>
      <c r="H26" s="1">
        <f t="shared" ca="1" si="9"/>
        <v>1</v>
      </c>
      <c r="I26" s="1">
        <f t="shared" ca="1" si="9"/>
        <v>0</v>
      </c>
      <c r="J26" s="1">
        <f t="shared" ca="1" si="9"/>
        <v>1</v>
      </c>
      <c r="K26" s="4">
        <f t="shared" ca="1" si="9"/>
        <v>1</v>
      </c>
      <c r="L26" s="6">
        <f t="shared" ca="1" si="4"/>
        <v>6</v>
      </c>
    </row>
    <row r="27" spans="1:20" x14ac:dyDescent="0.2">
      <c r="A27" s="20">
        <v>22</v>
      </c>
      <c r="B27" s="9">
        <f t="shared" ca="1" si="2"/>
        <v>1</v>
      </c>
      <c r="C27" s="1">
        <f t="shared" ca="1" si="9"/>
        <v>0</v>
      </c>
      <c r="D27" s="1">
        <f t="shared" ca="1" si="9"/>
        <v>1</v>
      </c>
      <c r="E27" s="1">
        <f t="shared" ca="1" si="9"/>
        <v>0</v>
      </c>
      <c r="F27" s="1">
        <f t="shared" ca="1" si="9"/>
        <v>1</v>
      </c>
      <c r="G27" s="1">
        <f t="shared" ca="1" si="9"/>
        <v>0</v>
      </c>
      <c r="H27" s="1">
        <f t="shared" ca="1" si="9"/>
        <v>0</v>
      </c>
      <c r="I27" s="1">
        <f t="shared" ca="1" si="9"/>
        <v>1</v>
      </c>
      <c r="J27" s="1">
        <f t="shared" ca="1" si="9"/>
        <v>0</v>
      </c>
      <c r="K27" s="4">
        <f t="shared" ca="1" si="9"/>
        <v>1</v>
      </c>
      <c r="L27" s="6">
        <f t="shared" ca="1" si="4"/>
        <v>5</v>
      </c>
    </row>
    <row r="28" spans="1:20" x14ac:dyDescent="0.2">
      <c r="A28" s="20">
        <v>23</v>
      </c>
      <c r="B28" s="9">
        <f t="shared" ca="1" si="2"/>
        <v>1</v>
      </c>
      <c r="C28" s="1">
        <f t="shared" ca="1" si="9"/>
        <v>0</v>
      </c>
      <c r="D28" s="1">
        <f t="shared" ca="1" si="9"/>
        <v>0</v>
      </c>
      <c r="E28" s="1">
        <f t="shared" ca="1" si="9"/>
        <v>1</v>
      </c>
      <c r="F28" s="1">
        <f t="shared" ca="1" si="9"/>
        <v>0</v>
      </c>
      <c r="G28" s="1">
        <f t="shared" ca="1" si="9"/>
        <v>0</v>
      </c>
      <c r="H28" s="1">
        <f t="shared" ca="1" si="9"/>
        <v>0</v>
      </c>
      <c r="I28" s="1">
        <f t="shared" ca="1" si="9"/>
        <v>0</v>
      </c>
      <c r="J28" s="1">
        <f t="shared" ca="1" si="9"/>
        <v>1</v>
      </c>
      <c r="K28" s="4">
        <f t="shared" ca="1" si="9"/>
        <v>0</v>
      </c>
      <c r="L28" s="6">
        <f t="shared" ca="1" si="4"/>
        <v>3</v>
      </c>
    </row>
    <row r="29" spans="1:20" ht="17" thickBot="1" x14ac:dyDescent="0.25">
      <c r="A29" s="20">
        <v>24</v>
      </c>
      <c r="B29" s="9">
        <f t="shared" ca="1" si="2"/>
        <v>1</v>
      </c>
      <c r="C29" s="1">
        <f t="shared" ca="1" si="9"/>
        <v>1</v>
      </c>
      <c r="D29" s="1">
        <f t="shared" ca="1" si="9"/>
        <v>0</v>
      </c>
      <c r="E29" s="1">
        <f t="shared" ca="1" si="9"/>
        <v>0</v>
      </c>
      <c r="F29" s="1">
        <f t="shared" ca="1" si="9"/>
        <v>1</v>
      </c>
      <c r="G29" s="1">
        <f t="shared" ca="1" si="9"/>
        <v>1</v>
      </c>
      <c r="H29" s="1">
        <f t="shared" ca="1" si="9"/>
        <v>0</v>
      </c>
      <c r="I29" s="1">
        <f t="shared" ca="1" si="9"/>
        <v>1</v>
      </c>
      <c r="J29" s="1">
        <f t="shared" ca="1" si="9"/>
        <v>1</v>
      </c>
      <c r="K29" s="4">
        <f t="shared" ca="1" si="9"/>
        <v>1</v>
      </c>
      <c r="L29" s="6">
        <f t="shared" ca="1" si="4"/>
        <v>7</v>
      </c>
    </row>
    <row r="30" spans="1:20" ht="17" thickBot="1" x14ac:dyDescent="0.25">
      <c r="A30" s="20">
        <v>25</v>
      </c>
      <c r="B30" s="9">
        <f t="shared" ca="1" si="2"/>
        <v>1</v>
      </c>
      <c r="C30" s="1">
        <f t="shared" ca="1" si="9"/>
        <v>1</v>
      </c>
      <c r="D30" s="1">
        <f t="shared" ca="1" si="9"/>
        <v>1</v>
      </c>
      <c r="E30" s="1">
        <f t="shared" ca="1" si="9"/>
        <v>1</v>
      </c>
      <c r="F30" s="1">
        <f t="shared" ca="1" si="9"/>
        <v>1</v>
      </c>
      <c r="G30" s="1">
        <f t="shared" ca="1" si="9"/>
        <v>0</v>
      </c>
      <c r="H30" s="1">
        <f t="shared" ca="1" si="9"/>
        <v>1</v>
      </c>
      <c r="I30" s="1">
        <f t="shared" ca="1" si="9"/>
        <v>1</v>
      </c>
      <c r="J30" s="1">
        <f t="shared" ca="1" si="9"/>
        <v>1</v>
      </c>
      <c r="K30" s="4">
        <f t="shared" ca="1" si="9"/>
        <v>1</v>
      </c>
      <c r="L30" s="6">
        <f t="shared" ca="1" si="4"/>
        <v>9</v>
      </c>
      <c r="T30" s="14" t="s">
        <v>0</v>
      </c>
    </row>
    <row r="31" spans="1:20" ht="17" thickBot="1" x14ac:dyDescent="0.25">
      <c r="A31" s="20">
        <v>26</v>
      </c>
      <c r="B31" s="9">
        <f t="shared" ca="1" si="2"/>
        <v>1</v>
      </c>
      <c r="C31" s="1">
        <f t="shared" ca="1" si="9"/>
        <v>0</v>
      </c>
      <c r="D31" s="1">
        <f t="shared" ca="1" si="9"/>
        <v>0</v>
      </c>
      <c r="E31" s="1">
        <f t="shared" ca="1" si="9"/>
        <v>1</v>
      </c>
      <c r="F31" s="1">
        <f t="shared" ca="1" si="9"/>
        <v>0</v>
      </c>
      <c r="G31" s="1">
        <f t="shared" ca="1" si="9"/>
        <v>1</v>
      </c>
      <c r="H31" s="1">
        <f t="shared" ca="1" si="9"/>
        <v>1</v>
      </c>
      <c r="I31" s="1">
        <f t="shared" ca="1" si="9"/>
        <v>0</v>
      </c>
      <c r="J31" s="1">
        <f t="shared" ca="1" si="9"/>
        <v>1</v>
      </c>
      <c r="K31" s="4">
        <f t="shared" ca="1" si="9"/>
        <v>0</v>
      </c>
      <c r="L31" s="6">
        <f t="shared" ca="1" si="4"/>
        <v>5</v>
      </c>
      <c r="T31" s="15" t="s">
        <v>1</v>
      </c>
    </row>
    <row r="32" spans="1:20" x14ac:dyDescent="0.2">
      <c r="A32" s="20">
        <v>27</v>
      </c>
      <c r="B32" s="9">
        <f t="shared" ca="1" si="2"/>
        <v>0</v>
      </c>
      <c r="C32" s="1">
        <f t="shared" ca="1" si="9"/>
        <v>1</v>
      </c>
      <c r="D32" s="1">
        <f t="shared" ca="1" si="9"/>
        <v>0</v>
      </c>
      <c r="E32" s="1">
        <f t="shared" ca="1" si="9"/>
        <v>1</v>
      </c>
      <c r="F32" s="1">
        <f t="shared" ca="1" si="9"/>
        <v>1</v>
      </c>
      <c r="G32" s="1">
        <f t="shared" ca="1" si="9"/>
        <v>1</v>
      </c>
      <c r="H32" s="1">
        <f t="shared" ca="1" si="9"/>
        <v>1</v>
      </c>
      <c r="I32" s="1">
        <f t="shared" ca="1" si="9"/>
        <v>1</v>
      </c>
      <c r="J32" s="1">
        <f t="shared" ca="1" si="9"/>
        <v>0</v>
      </c>
      <c r="K32" s="4">
        <f t="shared" ca="1" si="9"/>
        <v>1</v>
      </c>
      <c r="L32" s="6">
        <f t="shared" ca="1" si="4"/>
        <v>7</v>
      </c>
    </row>
    <row r="33" spans="1:12" x14ac:dyDescent="0.2">
      <c r="A33" s="20">
        <v>28</v>
      </c>
      <c r="B33" s="9">
        <f t="shared" ca="1" si="2"/>
        <v>1</v>
      </c>
      <c r="C33" s="1">
        <f t="shared" ca="1" si="9"/>
        <v>1</v>
      </c>
      <c r="D33" s="1">
        <f t="shared" ca="1" si="9"/>
        <v>1</v>
      </c>
      <c r="E33" s="1">
        <f t="shared" ca="1" si="9"/>
        <v>1</v>
      </c>
      <c r="F33" s="1">
        <f t="shared" ca="1" si="9"/>
        <v>0</v>
      </c>
      <c r="G33" s="1">
        <f t="shared" ca="1" si="9"/>
        <v>0</v>
      </c>
      <c r="H33" s="1">
        <f t="shared" ca="1" si="9"/>
        <v>1</v>
      </c>
      <c r="I33" s="1">
        <f t="shared" ca="1" si="9"/>
        <v>1</v>
      </c>
      <c r="J33" s="1">
        <f t="shared" ca="1" si="9"/>
        <v>1</v>
      </c>
      <c r="K33" s="4">
        <f t="shared" ca="1" si="9"/>
        <v>1</v>
      </c>
      <c r="L33" s="6">
        <f t="shared" ca="1" si="4"/>
        <v>8</v>
      </c>
    </row>
    <row r="34" spans="1:12" x14ac:dyDescent="0.2">
      <c r="A34" s="20">
        <v>29</v>
      </c>
      <c r="B34" s="9">
        <f t="shared" ca="1" si="2"/>
        <v>1</v>
      </c>
      <c r="C34" s="1">
        <f t="shared" ca="1" si="9"/>
        <v>1</v>
      </c>
      <c r="D34" s="1">
        <f t="shared" ca="1" si="9"/>
        <v>1</v>
      </c>
      <c r="E34" s="1">
        <f t="shared" ca="1" si="9"/>
        <v>1</v>
      </c>
      <c r="F34" s="1">
        <f t="shared" ca="1" si="9"/>
        <v>0</v>
      </c>
      <c r="G34" s="1">
        <f t="shared" ca="1" si="9"/>
        <v>1</v>
      </c>
      <c r="H34" s="1">
        <f t="shared" ca="1" si="9"/>
        <v>1</v>
      </c>
      <c r="I34" s="1">
        <f t="shared" ca="1" si="9"/>
        <v>1</v>
      </c>
      <c r="J34" s="1">
        <f t="shared" ca="1" si="9"/>
        <v>0</v>
      </c>
      <c r="K34" s="4">
        <f t="shared" ca="1" si="9"/>
        <v>0</v>
      </c>
      <c r="L34" s="6">
        <f t="shared" ca="1" si="4"/>
        <v>7</v>
      </c>
    </row>
    <row r="35" spans="1:12" ht="17" thickBot="1" x14ac:dyDescent="0.25">
      <c r="A35" s="21">
        <v>30</v>
      </c>
      <c r="B35" s="9">
        <f t="shared" ca="1" si="2"/>
        <v>1</v>
      </c>
      <c r="C35" s="1">
        <f t="shared" ca="1" si="9"/>
        <v>1</v>
      </c>
      <c r="D35" s="1">
        <f t="shared" ca="1" si="9"/>
        <v>1</v>
      </c>
      <c r="E35" s="1">
        <f t="shared" ca="1" si="9"/>
        <v>0</v>
      </c>
      <c r="F35" s="1">
        <f t="shared" ca="1" si="9"/>
        <v>1</v>
      </c>
      <c r="G35" s="1">
        <f t="shared" ca="1" si="9"/>
        <v>0</v>
      </c>
      <c r="H35" s="1">
        <f t="shared" ca="1" si="9"/>
        <v>1</v>
      </c>
      <c r="I35" s="1">
        <f t="shared" ca="1" si="9"/>
        <v>1</v>
      </c>
      <c r="J35" s="1">
        <f t="shared" ca="1" si="9"/>
        <v>0</v>
      </c>
      <c r="K35" s="4">
        <f t="shared" ca="1" si="9"/>
        <v>1</v>
      </c>
      <c r="L35" s="7">
        <f t="shared" ca="1" si="4"/>
        <v>7</v>
      </c>
    </row>
  </sheetData>
  <conditionalFormatting sqref="O16">
    <cfRule type="cellIs" dxfId="1" priority="1" operator="equal">
      <formula>"H zamietame"</formula>
    </cfRule>
    <cfRule type="cellIs" dxfId="0" priority="2" operator="equal">
      <formula>"H nezamietame"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2026-04-29T09:53:12Z</dcterms:created>
  <dcterms:modified xsi:type="dcterms:W3CDTF">2026-06-16T15:50:42Z</dcterms:modified>
</cp:coreProperties>
</file>