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521B2EC7-8F17-BF41-B6AF-2EF6F92935B9}" xr6:coauthVersionLast="47" xr6:coauthVersionMax="47" xr10:uidLastSave="{00000000-0000-0000-0000-000000000000}"/>
  <bookViews>
    <workbookView xWindow="6100" yWindow="760" windowWidth="22620" windowHeight="17240" xr2:uid="{68FC4D06-2FD6-3D4D-BE14-27469FD904CC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8" i="1"/>
  <c r="D8" i="1"/>
  <c r="E8" i="1"/>
  <c r="F8" i="1"/>
  <c r="G8" i="1"/>
  <c r="H8" i="1"/>
  <c r="I8" i="1"/>
  <c r="J8" i="1"/>
  <c r="K8" i="1"/>
  <c r="L8" i="1"/>
  <c r="E4" i="1"/>
  <c r="C5" i="1"/>
  <c r="C6" i="1" s="1"/>
  <c r="M3" i="1"/>
  <c r="N3" i="1" s="1"/>
  <c r="K4" i="1"/>
  <c r="L4" i="1"/>
  <c r="D4" i="1"/>
  <c r="F4" i="1"/>
  <c r="G4" i="1"/>
  <c r="H4" i="1"/>
  <c r="I4" i="1"/>
  <c r="J4" i="1"/>
  <c r="C4" i="1"/>
  <c r="D5" i="1" l="1"/>
  <c r="M4" i="1"/>
  <c r="C7" i="1" s="1"/>
  <c r="D6" i="1" l="1"/>
  <c r="E5" i="1"/>
  <c r="F5" i="1" l="1"/>
  <c r="E6" i="1"/>
  <c r="F6" i="1" l="1"/>
  <c r="F9" i="1" s="1"/>
  <c r="G5" i="1"/>
  <c r="G6" i="1" l="1"/>
  <c r="G9" i="1" s="1"/>
  <c r="H5" i="1"/>
  <c r="I5" i="1" l="1"/>
  <c r="H6" i="1"/>
  <c r="H9" i="1" s="1"/>
  <c r="J5" i="1" l="1"/>
  <c r="I6" i="1"/>
  <c r="I9" i="1" s="1"/>
  <c r="J9" i="1" s="1"/>
  <c r="K9" i="1" s="1"/>
  <c r="L9" i="1" s="1"/>
  <c r="J6" i="1" l="1"/>
  <c r="K5" i="1"/>
  <c r="K6" i="1" l="1"/>
  <c r="L5" i="1"/>
  <c r="L6" i="1" s="1"/>
</calcChain>
</file>

<file path=xl/sharedStrings.xml><?xml version="1.0" encoding="utf-8"?>
<sst xmlns="http://schemas.openxmlformats.org/spreadsheetml/2006/main" count="10" uniqueCount="10">
  <si>
    <t>k</t>
  </si>
  <si>
    <t>suma</t>
  </si>
  <si>
    <t>CDF(k)</t>
  </si>
  <si>
    <t>K*PDF(k)</t>
  </si>
  <si>
    <t>PDF(k)</t>
  </si>
  <si>
    <t>TDF(k)</t>
  </si>
  <si>
    <t xml:space="preserve">E(k) = </t>
  </si>
  <si>
    <t>ok?</t>
  </si>
  <si>
    <t>mode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</si>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</sst>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3" xfId="0" applyFill="1" applyBorder="1"/>
    <xf numFmtId="0" fontId="0" fillId="5" borderId="4" xfId="0" applyFill="1" applyBorder="1"/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7" xfId="0" applyFill="1" applyBorder="1" applyAlignment="1">
      <alignment horizontal="left"/>
    </xf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horizontal="right"/>
    </xf>
    <xf numFmtId="0" fontId="0" fillId="3" borderId="10" xfId="0" applyFill="1" applyBorder="1" applyAlignment="1">
      <alignment horizontal="right"/>
    </xf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0" fontId="0" fillId="3" borderId="14" xfId="0" applyFill="1" applyBorder="1"/>
    <xf numFmtId="0" fontId="0" fillId="3" borderId="16" xfId="0" applyFill="1" applyBorder="1"/>
    <xf numFmtId="0" fontId="0" fillId="5" borderId="8" xfId="0" applyFill="1" applyBorder="1"/>
    <xf numFmtId="0" fontId="0" fillId="5" borderId="10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B270-2688-7244-9E83-A22BF2187843}">
  <dimension ref="B1:N9"/>
  <sheetViews>
    <sheetView tabSelected="1" workbookViewId="0">
      <selection activeCell="F13" sqref="F13"/>
    </sheetView>
  </sheetViews>
  <sheetFormatPr baseColWidth="10" defaultRowHeight="16" x14ac:dyDescent="0.2"/>
  <sheetData>
    <row r="1" spans="2:14" ht="17" thickBot="1" x14ac:dyDescent="0.25"/>
    <row r="2" spans="2:14" ht="17" thickBot="1" x14ac:dyDescent="0.25">
      <c r="B2" s="10" t="s">
        <v>0</v>
      </c>
      <c r="C2" s="17">
        <v>1</v>
      </c>
      <c r="D2" s="18">
        <v>2</v>
      </c>
      <c r="E2" s="18">
        <v>3</v>
      </c>
      <c r="F2" s="18">
        <v>4</v>
      </c>
      <c r="G2" s="18">
        <v>5</v>
      </c>
      <c r="H2" s="18">
        <v>6</v>
      </c>
      <c r="I2" s="18">
        <v>7</v>
      </c>
      <c r="J2" s="18">
        <v>8</v>
      </c>
      <c r="K2" s="18">
        <v>9</v>
      </c>
      <c r="L2" s="19">
        <v>10</v>
      </c>
      <c r="M2" s="20" t="s">
        <v>1</v>
      </c>
      <c r="N2" s="21" t="s">
        <v>7</v>
      </c>
    </row>
    <row r="3" spans="2:14" ht="17" thickBot="1" x14ac:dyDescent="0.25">
      <c r="B3" s="11" t="s">
        <v>4</v>
      </c>
      <c r="C3" s="14">
        <v>0.1</v>
      </c>
      <c r="D3" s="15">
        <v>0.1</v>
      </c>
      <c r="E3" s="15">
        <v>0.05</v>
      </c>
      <c r="F3" s="15">
        <v>0.1</v>
      </c>
      <c r="G3" s="15">
        <v>0.05</v>
      </c>
      <c r="H3" s="15">
        <v>0.1</v>
      </c>
      <c r="I3" s="15">
        <v>0.1</v>
      </c>
      <c r="J3" s="15">
        <v>0.1</v>
      </c>
      <c r="K3" s="15">
        <v>0.1</v>
      </c>
      <c r="L3" s="16">
        <v>0.2</v>
      </c>
      <c r="M3" s="22">
        <f>SUM(C3:L3)</f>
        <v>1</v>
      </c>
      <c r="N3" s="24" t="str">
        <f>IF(M3=1, "ok", "nie ok")</f>
        <v>ok</v>
      </c>
    </row>
    <row r="4" spans="2:14" ht="17" thickBot="1" x14ac:dyDescent="0.25">
      <c r="B4" s="11" t="s">
        <v>3</v>
      </c>
      <c r="C4" s="3">
        <f>C2*C3</f>
        <v>0.1</v>
      </c>
      <c r="D4" s="1">
        <f t="shared" ref="D4:J4" si="0">D2*D3</f>
        <v>0.2</v>
      </c>
      <c r="E4" s="1">
        <f>E2*E3</f>
        <v>0.15000000000000002</v>
      </c>
      <c r="F4" s="1">
        <f t="shared" si="0"/>
        <v>0.4</v>
      </c>
      <c r="G4" s="1">
        <f t="shared" si="0"/>
        <v>0.25</v>
      </c>
      <c r="H4" s="1">
        <f t="shared" si="0"/>
        <v>0.60000000000000009</v>
      </c>
      <c r="I4" s="1">
        <f t="shared" si="0"/>
        <v>0.70000000000000007</v>
      </c>
      <c r="J4" s="1">
        <f t="shared" si="0"/>
        <v>0.8</v>
      </c>
      <c r="K4" s="1">
        <f>K2*K3</f>
        <v>0.9</v>
      </c>
      <c r="L4" s="4">
        <f t="shared" ref="L4" si="1">L2*L3</f>
        <v>2</v>
      </c>
      <c r="M4" s="23">
        <f>SUM(C4:L4)</f>
        <v>6.1000000000000005</v>
      </c>
    </row>
    <row r="5" spans="2:14" x14ac:dyDescent="0.2">
      <c r="B5" s="11" t="s">
        <v>2</v>
      </c>
      <c r="C5" s="3">
        <f>C3</f>
        <v>0.1</v>
      </c>
      <c r="D5" s="1">
        <f t="shared" ref="D5:L5" si="2">C5+D3</f>
        <v>0.2</v>
      </c>
      <c r="E5" s="1">
        <f t="shared" si="2"/>
        <v>0.25</v>
      </c>
      <c r="F5" s="1">
        <f t="shared" si="2"/>
        <v>0.35</v>
      </c>
      <c r="G5" s="1">
        <f t="shared" si="2"/>
        <v>0.39999999999999997</v>
      </c>
      <c r="H5" s="1">
        <f t="shared" si="2"/>
        <v>0.5</v>
      </c>
      <c r="I5" s="1">
        <f t="shared" si="2"/>
        <v>0.6</v>
      </c>
      <c r="J5" s="1">
        <f t="shared" si="2"/>
        <v>0.7</v>
      </c>
      <c r="K5" s="1">
        <f t="shared" si="2"/>
        <v>0.79999999999999993</v>
      </c>
      <c r="L5" s="4">
        <f t="shared" si="2"/>
        <v>1</v>
      </c>
    </row>
    <row r="6" spans="2:14" x14ac:dyDescent="0.2">
      <c r="B6" s="11" t="s">
        <v>5</v>
      </c>
      <c r="C6" s="3">
        <f>1-C5</f>
        <v>0.9</v>
      </c>
      <c r="D6" s="1">
        <f>1-D5</f>
        <v>0.8</v>
      </c>
      <c r="E6" s="1">
        <f t="shared" ref="E6:L6" si="3">1-E5</f>
        <v>0.75</v>
      </c>
      <c r="F6" s="1">
        <f t="shared" si="3"/>
        <v>0.65</v>
      </c>
      <c r="G6" s="1">
        <f t="shared" si="3"/>
        <v>0.60000000000000009</v>
      </c>
      <c r="H6" s="1">
        <f t="shared" si="3"/>
        <v>0.5</v>
      </c>
      <c r="I6" s="1">
        <f t="shared" si="3"/>
        <v>0.4</v>
      </c>
      <c r="J6" s="1">
        <f t="shared" si="3"/>
        <v>0.30000000000000004</v>
      </c>
      <c r="K6" s="1">
        <f t="shared" si="3"/>
        <v>0.20000000000000007</v>
      </c>
      <c r="L6" s="4">
        <f t="shared" si="3"/>
        <v>0</v>
      </c>
    </row>
    <row r="7" spans="2:14" x14ac:dyDescent="0.2">
      <c r="B7" s="12" t="s">
        <v>6</v>
      </c>
      <c r="C7" s="8">
        <f>M4</f>
        <v>6.1000000000000005</v>
      </c>
      <c r="D7" s="1"/>
      <c r="E7" s="1"/>
      <c r="F7" s="1"/>
      <c r="G7" s="1"/>
      <c r="H7" s="1"/>
      <c r="I7" s="1"/>
      <c r="J7" s="1"/>
      <c r="K7" s="1"/>
      <c r="L7" s="4"/>
    </row>
    <row r="8" spans="2:14" x14ac:dyDescent="0.2">
      <c r="B8" s="12" t="s">
        <v>8</v>
      </c>
      <c r="C8" s="8" t="str">
        <f>IF(C3=MAX($C$3:$L$3), C2, "")</f>
        <v/>
      </c>
      <c r="D8" s="2" t="str">
        <f t="shared" ref="D8:L8" si="4">IF(D3=MAX($C$3:$L$3), D2, "")</f>
        <v/>
      </c>
      <c r="E8" s="2" t="str">
        <f t="shared" si="4"/>
        <v/>
      </c>
      <c r="F8" s="2" t="str">
        <f t="shared" si="4"/>
        <v/>
      </c>
      <c r="G8" s="2" t="str">
        <f t="shared" si="4"/>
        <v/>
      </c>
      <c r="H8" s="2" t="str">
        <f t="shared" si="4"/>
        <v/>
      </c>
      <c r="I8" s="2" t="str">
        <f t="shared" si="4"/>
        <v/>
      </c>
      <c r="J8" s="2" t="str">
        <f t="shared" si="4"/>
        <v/>
      </c>
      <c r="K8" s="2" t="str">
        <f t="shared" si="4"/>
        <v/>
      </c>
      <c r="L8" s="5">
        <f t="shared" si="4"/>
        <v>10</v>
      </c>
    </row>
    <row r="9" spans="2:14" ht="17" thickBot="1" x14ac:dyDescent="0.25">
      <c r="B9" s="13" t="s">
        <v>9</v>
      </c>
      <c r="C9" s="9"/>
      <c r="D9" s="6" t="str">
        <f>IF(SUM($C$9:C9) = 0, IF(AND(D5&gt;=0.5, D6&lt;0.5), D2, ""), "")</f>
        <v/>
      </c>
      <c r="E9" s="6" t="str">
        <f>IF(SUM($C$9:D9) = 0, IF(AND(E5&gt;=0.5, E6&lt;0.5), E2, ""), "")</f>
        <v/>
      </c>
      <c r="F9" s="6" t="str">
        <f>IF(SUM($C$9:E9) = 0, IF(AND(F5&gt;=0.5, F6&lt;0.5), F2, ""), "")</f>
        <v/>
      </c>
      <c r="G9" s="6" t="str">
        <f>IF(SUM($C$9:F9) = 0, IF(AND(G5&gt;=0.5, G6&lt;0.5), G2, ""), "")</f>
        <v/>
      </c>
      <c r="H9" s="6" t="str">
        <f>IF(SUM($C$9:G9) = 0, IF(AND(H5&gt;=0.5, H6&lt;0.5), H2, ""), "")</f>
        <v/>
      </c>
      <c r="I9" s="6">
        <f>IF(SUM($C$9:H9) = 0, IF(AND(I5&gt;=0.5, I6&lt;0.5), I2, ""), "")</f>
        <v>7</v>
      </c>
      <c r="J9" s="6" t="str">
        <f>IF(SUM($C$9:I9) = 0, IF(AND(J5&gt;=0.5, J6&lt;0.5), J2, ""), "")</f>
        <v/>
      </c>
      <c r="K9" s="6" t="str">
        <f>IF(SUM($C$9:J9) = 0, IF(AND(K5&gt;=0.5, K6&lt;0.5), K2, ""), "")</f>
        <v/>
      </c>
      <c r="L9" s="7" t="str">
        <f>IF(SUM($C$9:K9) = 0, IF(AND(L5&gt;=0.5, L6&lt;0.5), L2, ""), "")</f>
        <v/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2026-04-01T10:00:55Z</dcterms:created>
  <dcterms:modified xsi:type="dcterms:W3CDTF">2026-06-16T14:24:06Z</dcterms:modified>
</cp:coreProperties>
</file>