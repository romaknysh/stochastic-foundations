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2AB1FD2C-6C3C-1745-914D-137A66A8517C}" xr6:coauthVersionLast="47" xr6:coauthVersionMax="47" xr10:uidLastSave="{00000000-0000-0000-0000-000000000000}"/>
  <bookViews>
    <workbookView xWindow="1080" yWindow="1260" windowWidth="27640" windowHeight="16740" xr2:uid="{5F2851C1-00BB-8B40-AB98-1D83022E90A1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5" i="1"/>
  <c r="G5" i="1"/>
  <c r="H5" i="1"/>
  <c r="I5" i="1"/>
  <c r="J5" i="1"/>
  <c r="E5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" i="1"/>
  <c r="F4" i="1" l="1"/>
  <c r="J4" i="1"/>
  <c r="E4" i="1"/>
  <c r="I4" i="1"/>
  <c r="H4" i="1"/>
  <c r="G4" i="1"/>
  <c r="K4" i="1" l="1"/>
  <c r="E6" i="1" s="1"/>
  <c r="F6" i="1" l="1"/>
  <c r="F7" i="1" s="1"/>
  <c r="F8" i="1" s="1"/>
  <c r="F9" i="1" s="1"/>
  <c r="G6" i="1"/>
  <c r="G7" i="1" s="1"/>
  <c r="G8" i="1" s="1"/>
  <c r="G9" i="1" s="1"/>
  <c r="H6" i="1"/>
  <c r="H7" i="1" s="1"/>
  <c r="H8" i="1" s="1"/>
  <c r="H9" i="1" s="1"/>
  <c r="I6" i="1"/>
  <c r="I7" i="1" s="1"/>
  <c r="I8" i="1" s="1"/>
  <c r="I9" i="1" s="1"/>
  <c r="J6" i="1"/>
  <c r="J7" i="1" s="1"/>
  <c r="J8" i="1" s="1"/>
  <c r="J9" i="1" s="1"/>
  <c r="E7" i="1" l="1"/>
  <c r="E8" i="1" s="1"/>
  <c r="E9" i="1" s="1"/>
  <c r="E14" i="1" s="1"/>
  <c r="E17" i="1" l="1"/>
  <c r="E18" i="1" s="1"/>
</calcChain>
</file>

<file path=xl/sharedStrings.xml><?xml version="1.0" encoding="utf-8"?>
<sst xmlns="http://schemas.openxmlformats.org/spreadsheetml/2006/main" count="13" uniqueCount="13">
  <si>
    <t>hodim kockou</t>
  </si>
  <si>
    <t>nj</t>
  </si>
  <si>
    <t>pj</t>
  </si>
  <si>
    <t>npj</t>
  </si>
  <si>
    <t>nj-npj</t>
  </si>
  <si>
    <t>^2</t>
  </si>
  <si>
    <t>/pj</t>
  </si>
  <si>
    <t>H</t>
  </si>
  <si>
    <t>a</t>
  </si>
  <si>
    <t>df</t>
  </si>
  <si>
    <t>w</t>
  </si>
  <si>
    <t>res</t>
  </si>
  <si>
    <t>total_check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</si>
</sst>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0" fillId="3" borderId="2" xfId="0" applyFill="1" applyBorder="1"/>
    <xf numFmtId="0" fontId="0" fillId="4" borderId="8" xfId="0" applyFill="1" applyBorder="1"/>
    <xf numFmtId="0" fontId="0" fillId="4" borderId="3" xfId="0" applyFill="1" applyBorder="1"/>
    <xf numFmtId="2" fontId="0" fillId="4" borderId="9" xfId="0" applyNumberFormat="1" applyFill="1" applyBorder="1"/>
    <xf numFmtId="2" fontId="0" fillId="4" borderId="1" xfId="0" applyNumberFormat="1" applyFill="1" applyBorder="1"/>
    <xf numFmtId="0" fontId="0" fillId="4" borderId="9" xfId="0" applyFill="1" applyBorder="1"/>
    <xf numFmtId="0" fontId="0" fillId="4" borderId="1" xfId="0" applyFill="1" applyBorder="1"/>
    <xf numFmtId="0" fontId="0" fillId="2" borderId="16" xfId="0" applyFill="1" applyBorder="1"/>
    <xf numFmtId="0" fontId="0" fillId="2" borderId="15" xfId="0" applyFill="1" applyBorder="1"/>
    <xf numFmtId="0" fontId="0" fillId="3" borderId="10" xfId="0" applyFill="1" applyBorder="1"/>
    <xf numFmtId="0" fontId="0" fillId="2" borderId="17" xfId="0" applyFill="1" applyBorder="1"/>
    <xf numFmtId="0" fontId="0" fillId="4" borderId="18" xfId="0" applyFill="1" applyBorder="1"/>
    <xf numFmtId="2" fontId="0" fillId="4" borderId="19" xfId="0" applyNumberFormat="1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'1'!$E$4:$J$4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0-1F45-BA31-507EB05B3EA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'1'!$E$6:$J$6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0-1F45-BA31-507EB05B3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611455"/>
        <c:axId val="674517215"/>
      </c:barChart>
      <c:catAx>
        <c:axId val="67461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17215"/>
        <c:crosses val="autoZero"/>
        <c:auto val="1"/>
        <c:lblAlgn val="ctr"/>
        <c:lblOffset val="100"/>
        <c:noMultiLvlLbl val="0"/>
      </c:catAx>
      <c:valAx>
        <c:axId val="67451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61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</xdr:colOff>
      <xdr:row>11</xdr:row>
      <xdr:rowOff>57150</xdr:rowOff>
    </xdr:from>
    <xdr:to>
      <xdr:col>12</xdr:col>
      <xdr:colOff>647700</xdr:colOff>
      <xdr:row>28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B0583-C477-8833-8538-1E56B0E48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AF8-8682-DC47-A7E9-A9D7010C111A}">
  <dimension ref="A1:K32"/>
  <sheetViews>
    <sheetView tabSelected="1" workbookViewId="0">
      <selection activeCell="D16" sqref="D16:D18"/>
    </sheetView>
  </sheetViews>
  <sheetFormatPr baseColWidth="10" defaultRowHeight="16" x14ac:dyDescent="0.2"/>
  <cols>
    <col min="2" max="2" width="12.83203125" customWidth="1"/>
    <col min="5" max="5" width="13.83203125" customWidth="1"/>
  </cols>
  <sheetData>
    <row r="1" spans="1:11" ht="17" thickBot="1" x14ac:dyDescent="0.25"/>
    <row r="2" spans="1:11" ht="17" thickBot="1" x14ac:dyDescent="0.25">
      <c r="B2" s="12" t="s">
        <v>0</v>
      </c>
    </row>
    <row r="3" spans="1:11" ht="17" thickBot="1" x14ac:dyDescent="0.25">
      <c r="A3" s="9">
        <v>1</v>
      </c>
      <c r="B3" s="1">
        <f ca="1">RANDBETWEEN(1, 6)</f>
        <v>4</v>
      </c>
      <c r="D3" s="14"/>
      <c r="E3" s="21">
        <v>1</v>
      </c>
      <c r="F3" s="13">
        <v>2</v>
      </c>
      <c r="G3" s="13">
        <v>3</v>
      </c>
      <c r="H3" s="13">
        <v>4</v>
      </c>
      <c r="I3" s="13">
        <v>5</v>
      </c>
      <c r="J3" s="24">
        <v>6</v>
      </c>
      <c r="K3" s="23" t="s">
        <v>12</v>
      </c>
    </row>
    <row r="4" spans="1:11" ht="17" thickBot="1" x14ac:dyDescent="0.25">
      <c r="A4" s="10">
        <v>2</v>
      </c>
      <c r="B4" s="2">
        <f t="shared" ref="B4:B32" ca="1" si="0">RANDBETWEEN(1, 6)</f>
        <v>1</v>
      </c>
      <c r="D4" s="22" t="s">
        <v>1</v>
      </c>
      <c r="E4" s="15">
        <f ca="1">COUNTIF($B$3:$B$32, E3)</f>
        <v>6</v>
      </c>
      <c r="F4" s="16">
        <f t="shared" ref="F4:J4" ca="1" si="1">COUNTIF($B$3:$B$32, F3)</f>
        <v>6</v>
      </c>
      <c r="G4" s="16">
        <f t="shared" ca="1" si="1"/>
        <v>1</v>
      </c>
      <c r="H4" s="16">
        <f t="shared" ca="1" si="1"/>
        <v>4</v>
      </c>
      <c r="I4" s="16">
        <f t="shared" ca="1" si="1"/>
        <v>4</v>
      </c>
      <c r="J4" s="25">
        <f t="shared" ca="1" si="1"/>
        <v>9</v>
      </c>
      <c r="K4" s="8">
        <f ca="1">SUM(E4:J4)</f>
        <v>30</v>
      </c>
    </row>
    <row r="5" spans="1:11" x14ac:dyDescent="0.2">
      <c r="A5" s="10">
        <v>3</v>
      </c>
      <c r="B5" s="2">
        <f t="shared" ca="1" si="0"/>
        <v>6</v>
      </c>
      <c r="D5" s="10" t="s">
        <v>2</v>
      </c>
      <c r="E5" s="17">
        <f>1/6</f>
        <v>0.16666666666666666</v>
      </c>
      <c r="F5" s="18">
        <f t="shared" ref="F5:J5" si="2">1/6</f>
        <v>0.16666666666666666</v>
      </c>
      <c r="G5" s="18">
        <f t="shared" si="2"/>
        <v>0.16666666666666666</v>
      </c>
      <c r="H5" s="18">
        <f t="shared" si="2"/>
        <v>0.16666666666666666</v>
      </c>
      <c r="I5" s="18">
        <f t="shared" si="2"/>
        <v>0.16666666666666666</v>
      </c>
      <c r="J5" s="26">
        <f t="shared" si="2"/>
        <v>0.16666666666666666</v>
      </c>
    </row>
    <row r="6" spans="1:11" x14ac:dyDescent="0.2">
      <c r="A6" s="10">
        <v>4</v>
      </c>
      <c r="B6" s="2">
        <f t="shared" ca="1" si="0"/>
        <v>5</v>
      </c>
      <c r="D6" s="10" t="s">
        <v>3</v>
      </c>
      <c r="E6" s="19">
        <f ca="1">$K$4*E5</f>
        <v>5</v>
      </c>
      <c r="F6" s="20">
        <f t="shared" ref="F6:J6" ca="1" si="3">$K$4*F5</f>
        <v>5</v>
      </c>
      <c r="G6" s="20">
        <f t="shared" ca="1" si="3"/>
        <v>5</v>
      </c>
      <c r="H6" s="20">
        <f t="shared" ca="1" si="3"/>
        <v>5</v>
      </c>
      <c r="I6" s="20">
        <f t="shared" ca="1" si="3"/>
        <v>5</v>
      </c>
      <c r="J6" s="27">
        <f t="shared" ca="1" si="3"/>
        <v>5</v>
      </c>
    </row>
    <row r="7" spans="1:11" x14ac:dyDescent="0.2">
      <c r="A7" s="10">
        <v>5</v>
      </c>
      <c r="B7" s="2">
        <f t="shared" ca="1" si="0"/>
        <v>2</v>
      </c>
      <c r="D7" s="10" t="s">
        <v>4</v>
      </c>
      <c r="E7" s="19">
        <f ca="1">E4-E6</f>
        <v>1</v>
      </c>
      <c r="F7" s="20">
        <f t="shared" ref="F7:J7" ca="1" si="4">F4-F6</f>
        <v>1</v>
      </c>
      <c r="G7" s="20">
        <f t="shared" ca="1" si="4"/>
        <v>-4</v>
      </c>
      <c r="H7" s="20">
        <f t="shared" ca="1" si="4"/>
        <v>-1</v>
      </c>
      <c r="I7" s="20">
        <f t="shared" ca="1" si="4"/>
        <v>-1</v>
      </c>
      <c r="J7" s="27">
        <f t="shared" ca="1" si="4"/>
        <v>4</v>
      </c>
    </row>
    <row r="8" spans="1:11" x14ac:dyDescent="0.2">
      <c r="A8" s="10">
        <v>6</v>
      </c>
      <c r="B8" s="2">
        <f t="shared" ca="1" si="0"/>
        <v>5</v>
      </c>
      <c r="D8" s="10" t="s">
        <v>5</v>
      </c>
      <c r="E8" s="19">
        <f ca="1">E7*E7</f>
        <v>1</v>
      </c>
      <c r="F8" s="20">
        <f t="shared" ref="F8:J8" ca="1" si="5">F7*F7</f>
        <v>1</v>
      </c>
      <c r="G8" s="20">
        <f t="shared" ca="1" si="5"/>
        <v>16</v>
      </c>
      <c r="H8" s="20">
        <f t="shared" ca="1" si="5"/>
        <v>1</v>
      </c>
      <c r="I8" s="20">
        <f t="shared" ca="1" si="5"/>
        <v>1</v>
      </c>
      <c r="J8" s="27">
        <f t="shared" ca="1" si="5"/>
        <v>16</v>
      </c>
    </row>
    <row r="9" spans="1:11" ht="17" thickBot="1" x14ac:dyDescent="0.25">
      <c r="A9" s="10">
        <v>7</v>
      </c>
      <c r="B9" s="2">
        <f t="shared" ca="1" si="0"/>
        <v>1</v>
      </c>
      <c r="D9" s="11" t="s">
        <v>6</v>
      </c>
      <c r="E9" s="28">
        <f ca="1">E8/E5</f>
        <v>6</v>
      </c>
      <c r="F9" s="29">
        <f t="shared" ref="F9:J9" ca="1" si="6">F8/F5</f>
        <v>6</v>
      </c>
      <c r="G9" s="29">
        <f t="shared" ca="1" si="6"/>
        <v>96</v>
      </c>
      <c r="H9" s="29">
        <f t="shared" ca="1" si="6"/>
        <v>6</v>
      </c>
      <c r="I9" s="29">
        <f t="shared" ca="1" si="6"/>
        <v>6</v>
      </c>
      <c r="J9" s="30">
        <f t="shared" ca="1" si="6"/>
        <v>96</v>
      </c>
    </row>
    <row r="10" spans="1:11" x14ac:dyDescent="0.2">
      <c r="A10" s="10">
        <v>8</v>
      </c>
      <c r="B10" s="2">
        <f t="shared" ca="1" si="0"/>
        <v>6</v>
      </c>
    </row>
    <row r="11" spans="1:11" ht="17" thickBot="1" x14ac:dyDescent="0.25">
      <c r="A11" s="10">
        <v>9</v>
      </c>
      <c r="B11" s="2">
        <f t="shared" ca="1" si="0"/>
        <v>5</v>
      </c>
    </row>
    <row r="12" spans="1:11" ht="17" thickBot="1" x14ac:dyDescent="0.25">
      <c r="A12" s="10">
        <v>10</v>
      </c>
      <c r="B12" s="2">
        <f t="shared" ca="1" si="0"/>
        <v>1</v>
      </c>
      <c r="D12" s="12" t="s">
        <v>8</v>
      </c>
      <c r="E12" s="4">
        <v>0.05</v>
      </c>
    </row>
    <row r="13" spans="1:11" ht="17" thickBot="1" x14ac:dyDescent="0.25">
      <c r="A13" s="10">
        <v>11</v>
      </c>
      <c r="B13" s="2">
        <f t="shared" ca="1" si="0"/>
        <v>6</v>
      </c>
    </row>
    <row r="14" spans="1:11" ht="17" thickBot="1" x14ac:dyDescent="0.25">
      <c r="A14" s="10">
        <v>12</v>
      </c>
      <c r="B14" s="2">
        <f t="shared" ca="1" si="0"/>
        <v>5</v>
      </c>
      <c r="D14" s="12" t="s">
        <v>7</v>
      </c>
      <c r="E14" s="4">
        <f ca="1">SUM(E9:J9)/(6-1)</f>
        <v>43.2</v>
      </c>
    </row>
    <row r="15" spans="1:11" ht="17" thickBot="1" x14ac:dyDescent="0.25">
      <c r="A15" s="10">
        <v>13</v>
      </c>
      <c r="B15" s="2">
        <f t="shared" ca="1" si="0"/>
        <v>4</v>
      </c>
    </row>
    <row r="16" spans="1:11" x14ac:dyDescent="0.2">
      <c r="A16" s="10">
        <v>14</v>
      </c>
      <c r="B16" s="2">
        <f t="shared" ca="1" si="0"/>
        <v>1</v>
      </c>
      <c r="D16" s="9" t="s">
        <v>9</v>
      </c>
      <c r="E16" s="5">
        <f>_xlfn.CHISQ.INV.RT(E12, 5)</f>
        <v>11.070497693516353</v>
      </c>
    </row>
    <row r="17" spans="1:5" x14ac:dyDescent="0.2">
      <c r="A17" s="10">
        <v>15</v>
      </c>
      <c r="B17" s="2">
        <f t="shared" ca="1" si="0"/>
        <v>6</v>
      </c>
      <c r="D17" s="10" t="s">
        <v>10</v>
      </c>
      <c r="E17" s="6">
        <f ca="1">_xlfn.CHISQ.DIST.RT(E14, 5)</f>
        <v>3.3657357077532691E-8</v>
      </c>
    </row>
    <row r="18" spans="1:5" ht="17" thickBot="1" x14ac:dyDescent="0.25">
      <c r="A18" s="10">
        <v>16</v>
      </c>
      <c r="B18" s="2">
        <f t="shared" ca="1" si="0"/>
        <v>6</v>
      </c>
      <c r="D18" s="11" t="s">
        <v>11</v>
      </c>
      <c r="E18" s="7" t="str">
        <f ca="1">IF(E14&lt;E17,"H nezamietame","H zamietame")</f>
        <v>H zamietame</v>
      </c>
    </row>
    <row r="19" spans="1:5" x14ac:dyDescent="0.2">
      <c r="A19" s="10">
        <v>17</v>
      </c>
      <c r="B19" s="2">
        <f t="shared" ca="1" si="0"/>
        <v>2</v>
      </c>
    </row>
    <row r="20" spans="1:5" x14ac:dyDescent="0.2">
      <c r="A20" s="10">
        <v>18</v>
      </c>
      <c r="B20" s="2">
        <f t="shared" ca="1" si="0"/>
        <v>2</v>
      </c>
    </row>
    <row r="21" spans="1:5" x14ac:dyDescent="0.2">
      <c r="A21" s="10">
        <v>19</v>
      </c>
      <c r="B21" s="2">
        <f t="shared" ca="1" si="0"/>
        <v>4</v>
      </c>
    </row>
    <row r="22" spans="1:5" x14ac:dyDescent="0.2">
      <c r="A22" s="10">
        <v>20</v>
      </c>
      <c r="B22" s="2">
        <f t="shared" ca="1" si="0"/>
        <v>6</v>
      </c>
    </row>
    <row r="23" spans="1:5" x14ac:dyDescent="0.2">
      <c r="A23" s="10">
        <v>21</v>
      </c>
      <c r="B23" s="2">
        <f t="shared" ca="1" si="0"/>
        <v>1</v>
      </c>
    </row>
    <row r="24" spans="1:5" x14ac:dyDescent="0.2">
      <c r="A24" s="10">
        <v>22</v>
      </c>
      <c r="B24" s="2">
        <f t="shared" ca="1" si="0"/>
        <v>4</v>
      </c>
    </row>
    <row r="25" spans="1:5" x14ac:dyDescent="0.2">
      <c r="A25" s="10">
        <v>23</v>
      </c>
      <c r="B25" s="2">
        <f t="shared" ca="1" si="0"/>
        <v>2</v>
      </c>
    </row>
    <row r="26" spans="1:5" x14ac:dyDescent="0.2">
      <c r="A26" s="10">
        <v>24</v>
      </c>
      <c r="B26" s="2">
        <f t="shared" ca="1" si="0"/>
        <v>1</v>
      </c>
    </row>
    <row r="27" spans="1:5" x14ac:dyDescent="0.2">
      <c r="A27" s="10">
        <v>25</v>
      </c>
      <c r="B27" s="2">
        <f t="shared" ca="1" si="0"/>
        <v>6</v>
      </c>
    </row>
    <row r="28" spans="1:5" x14ac:dyDescent="0.2">
      <c r="A28" s="10">
        <v>26</v>
      </c>
      <c r="B28" s="2">
        <f t="shared" ca="1" si="0"/>
        <v>6</v>
      </c>
    </row>
    <row r="29" spans="1:5" x14ac:dyDescent="0.2">
      <c r="A29" s="10">
        <v>27</v>
      </c>
      <c r="B29" s="2">
        <f t="shared" ca="1" si="0"/>
        <v>6</v>
      </c>
    </row>
    <row r="30" spans="1:5" x14ac:dyDescent="0.2">
      <c r="A30" s="10">
        <v>28</v>
      </c>
      <c r="B30" s="2">
        <f t="shared" ca="1" si="0"/>
        <v>2</v>
      </c>
    </row>
    <row r="31" spans="1:5" x14ac:dyDescent="0.2">
      <c r="A31" s="10">
        <v>29</v>
      </c>
      <c r="B31" s="2">
        <f t="shared" ca="1" si="0"/>
        <v>2</v>
      </c>
    </row>
    <row r="32" spans="1:5" ht="17" thickBot="1" x14ac:dyDescent="0.25">
      <c r="A32" s="11">
        <v>30</v>
      </c>
      <c r="B32" s="3">
        <f t="shared" ca="1" si="0"/>
        <v>3</v>
      </c>
    </row>
  </sheetData>
  <conditionalFormatting sqref="K4">
    <cfRule type="cellIs" dxfId="0" priority="1" operator="equal">
      <formula>30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2026-04-29T09:53:12Z</dcterms:created>
  <dcterms:modified xsi:type="dcterms:W3CDTF">2026-06-16T15:54:15Z</dcterms:modified>
</cp:coreProperties>
</file>