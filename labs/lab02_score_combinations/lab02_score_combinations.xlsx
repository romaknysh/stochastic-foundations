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1C751113-8085-A44E-888C-FA302D547395}" xr6:coauthVersionLast="47" xr6:coauthVersionMax="47" xr10:uidLastSave="{00000000-0000-0000-0000-000000000000}"/>
  <bookViews>
    <workbookView xWindow="14700" yWindow="760" windowWidth="14020" windowHeight="17240" xr2:uid="{7BCF2A0E-B13B-3B4C-8BB5-DEEF90D6F041}"/>
  </bookViews>
  <sheets>
    <sheet name="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l="1"/>
  <c r="E4" i="1" l="1"/>
  <c r="F4" i="1"/>
  <c r="G3" i="1"/>
  <c r="H4" i="1" s="1"/>
  <c r="F5" i="1" l="1"/>
  <c r="E5" i="1"/>
  <c r="G4" i="1"/>
  <c r="I4" i="1" s="1"/>
  <c r="H3" i="1"/>
  <c r="I3" i="1" s="1"/>
  <c r="F22" i="1"/>
  <c r="E6" i="1" l="1"/>
  <c r="G5" i="1"/>
  <c r="I5" i="1" s="1"/>
  <c r="F6" i="1"/>
  <c r="H5" i="1"/>
  <c r="H6" i="1" l="1"/>
  <c r="E7" i="1"/>
  <c r="F7" i="1"/>
  <c r="G6" i="1"/>
  <c r="I6" i="1" s="1"/>
  <c r="H7" i="1" l="1"/>
  <c r="E8" i="1"/>
  <c r="F8" i="1"/>
  <c r="G7" i="1"/>
  <c r="H8" i="1" s="1"/>
  <c r="I7" i="1" l="1"/>
  <c r="E9" i="1"/>
  <c r="F9" i="1"/>
  <c r="G8" i="1"/>
  <c r="H9" i="1" s="1"/>
  <c r="I8" i="1" l="1"/>
  <c r="F10" i="1"/>
  <c r="G9" i="1"/>
  <c r="H10" i="1" s="1"/>
  <c r="E10" i="1"/>
  <c r="I9" i="1" l="1"/>
  <c r="E11" i="1"/>
  <c r="G10" i="1"/>
  <c r="H11" i="1" s="1"/>
  <c r="F11" i="1"/>
  <c r="E12" i="1" s="1"/>
  <c r="I10" i="1" l="1"/>
  <c r="F12" i="1"/>
  <c r="G11" i="1"/>
  <c r="I11" i="1" s="1"/>
  <c r="H12" i="1" l="1"/>
  <c r="F13" i="1"/>
  <c r="E13" i="1"/>
  <c r="G12" i="1"/>
  <c r="H13" i="1" s="1"/>
  <c r="I12" i="1" l="1"/>
  <c r="G13" i="1"/>
  <c r="I13" i="1" s="1"/>
  <c r="E14" i="1"/>
  <c r="F14" i="1"/>
  <c r="H14" i="1" l="1"/>
  <c r="E15" i="1"/>
  <c r="G14" i="1"/>
  <c r="H15" i="1" s="1"/>
  <c r="F15" i="1"/>
  <c r="F16" i="1" s="1"/>
  <c r="I14" i="1" l="1"/>
  <c r="G15" i="1"/>
  <c r="H16" i="1" s="1"/>
  <c r="E16" i="1"/>
  <c r="I15" i="1" l="1"/>
  <c r="G16" i="1"/>
  <c r="H17" i="1" s="1"/>
  <c r="F17" i="1"/>
  <c r="E17" i="1"/>
  <c r="I16" i="1" l="1"/>
  <c r="G17" i="1"/>
  <c r="H18" i="1" s="1"/>
  <c r="E18" i="1"/>
  <c r="F18" i="1"/>
  <c r="I17" i="1" l="1"/>
  <c r="E19" i="1"/>
  <c r="G18" i="1"/>
  <c r="I18" i="1" s="1"/>
  <c r="F19" i="1"/>
  <c r="E20" i="1" s="1"/>
  <c r="H19" i="1" l="1"/>
  <c r="F20" i="1"/>
  <c r="G20" i="1" s="1"/>
  <c r="G19" i="1"/>
  <c r="I19" i="1" s="1"/>
  <c r="H20" i="1" l="1"/>
  <c r="I20" i="1" s="1"/>
  <c r="C8" i="1" s="1"/>
</calcChain>
</file>

<file path=xl/sharedStrings.xml><?xml version="1.0" encoding="utf-8"?>
<sst xmlns="http://schemas.openxmlformats.org/spreadsheetml/2006/main" count="15" uniqueCount="14">
  <si>
    <t>5x</t>
  </si>
  <si>
    <t>&lt;=4</t>
  </si>
  <si>
    <t>2x</t>
  </si>
  <si>
    <t>0/1</t>
  </si>
  <si>
    <t>?</t>
  </si>
  <si>
    <t>points</t>
  </si>
  <si>
    <t>fives_count</t>
  </si>
  <si>
    <t>twos_count</t>
  </si>
  <si>
    <t>zeros_count</t>
  </si>
  <si>
    <t>total_combinations</t>
  </si>
  <si>
    <t>valid_combinations</t>
  </si>
  <si>
    <t>fives</t>
  </si>
  <si>
    <t>twos</t>
  </si>
  <si>
    <t>zeros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</si>
</sst>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2" borderId="8" xfId="0" applyFill="1" applyBorder="1"/>
    <xf numFmtId="0" fontId="0" fillId="0" borderId="6" xfId="0" applyBorder="1"/>
    <xf numFmtId="0" fontId="0" fillId="0" borderId="9" xfId="0" applyBorder="1"/>
    <xf numFmtId="0" fontId="0" fillId="0" borderId="2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BE5E-997B-3240-898B-AECED53DD89D}">
  <dimension ref="B1:I22"/>
  <sheetViews>
    <sheetView tabSelected="1" workbookViewId="0">
      <selection activeCell="K25" sqref="K25:K26"/>
    </sheetView>
  </sheetViews>
  <sheetFormatPr baseColWidth="10" defaultRowHeight="16" x14ac:dyDescent="0.2"/>
  <cols>
    <col min="1" max="1" width="12.1640625" customWidth="1"/>
    <col min="2" max="2" width="17.6640625" customWidth="1"/>
  </cols>
  <sheetData>
    <row r="1" spans="2:9" ht="17" thickBot="1" x14ac:dyDescent="0.25"/>
    <row r="2" spans="2:9" ht="17" thickBot="1" x14ac:dyDescent="0.25">
      <c r="B2" s="3" t="s">
        <v>5</v>
      </c>
      <c r="C2" s="1" t="s">
        <v>0</v>
      </c>
      <c r="E2" s="10" t="s">
        <v>5</v>
      </c>
      <c r="F2" s="11" t="s">
        <v>11</v>
      </c>
      <c r="G2" s="11" t="s">
        <v>12</v>
      </c>
      <c r="H2" s="11" t="s">
        <v>13</v>
      </c>
      <c r="I2" s="12" t="s">
        <v>4</v>
      </c>
    </row>
    <row r="3" spans="2:9" x14ac:dyDescent="0.2">
      <c r="B3" s="6" t="s">
        <v>6</v>
      </c>
      <c r="C3" s="5" t="s">
        <v>1</v>
      </c>
      <c r="E3" s="7">
        <f>INT($C$7/5) * 5</f>
        <v>20</v>
      </c>
      <c r="F3" s="13">
        <f>$C$7-E3</f>
        <v>2</v>
      </c>
      <c r="G3" s="13">
        <f>IF(ISEVEN($C$7-E3-F3), $C$7-E3-F3, $C$7-E3-F3-1)</f>
        <v>0</v>
      </c>
      <c r="H3" s="13">
        <f>$C$7-E3-F3-G3</f>
        <v>0</v>
      </c>
      <c r="I3" s="5" t="str">
        <f>IF(E3="", "", IF(AND(SUM(E3:H3)=$C$7, E3/5 = INT(E3/5), F3 &lt; 5, ISEVEN(G3), H3 &lt; 2),"valid", "invalid"))</f>
        <v>valid</v>
      </c>
    </row>
    <row r="4" spans="2:9" x14ac:dyDescent="0.2">
      <c r="B4" s="6" t="s">
        <v>7</v>
      </c>
      <c r="C4" s="5" t="s">
        <v>2</v>
      </c>
      <c r="E4" s="7">
        <f>IF(E3="","",IF(AND(E3=0,F3=0),"",IF(F3=0,E3-5,E3)))</f>
        <v>20</v>
      </c>
      <c r="F4" s="14">
        <f>IF(E3="","",IF(AND(E3=0, F3=0),"",IF(F3=0, 4, F3-1)))</f>
        <v>1</v>
      </c>
      <c r="G4" s="14">
        <f>IF(ISEVEN($C$7-E4-F4), $C$7-E4-F4, $C$7-E4-F4-1)</f>
        <v>0</v>
      </c>
      <c r="H4" s="14">
        <f>IF(E3="","",IF(AND(E3=0,F3=0),"",IF(G3=0, 1, 0)))</f>
        <v>1</v>
      </c>
      <c r="I4" s="5" t="str">
        <f>IF(E4="", "", IF(AND(SUM(E4:H4)=$C$7, E4/5 = INT(E4/5), F4 &lt; 5, ISEVEN(G4), H4 &lt; 2),"valid", "invalid"))</f>
        <v>valid</v>
      </c>
    </row>
    <row r="5" spans="2:9" ht="17" thickBot="1" x14ac:dyDescent="0.25">
      <c r="B5" s="4" t="s">
        <v>8</v>
      </c>
      <c r="C5" s="2" t="s">
        <v>3</v>
      </c>
      <c r="E5" s="8">
        <f t="shared" ref="E5:E20" si="0">IF(E4="","",IF(AND(E4=0,F4=0),"",IF(F4=0,E4-5,E4)))</f>
        <v>20</v>
      </c>
      <c r="F5" s="14">
        <f t="shared" ref="F5:F22" si="1">IF(E4="","",IF(AND(E4=0, F4=0),"",IF(F4=0, 4, F4-1)))</f>
        <v>0</v>
      </c>
      <c r="G5" s="14">
        <f>IF(ISEVEN($C$7-E5-F5), $C$7-E5-F5, $C$7-E5-F5-1)</f>
        <v>2</v>
      </c>
      <c r="H5" s="14">
        <f t="shared" ref="H5:H20" si="2">IF(E4="","",IF(AND(E4=0,F4=0),"",IF(G4=0, 1, 0)))</f>
        <v>1</v>
      </c>
      <c r="I5" s="5" t="str">
        <f>IF(E5="", "", IF(AND(SUM(E5:H5)=$C$7, E5/5 = INT(E5/5), F5 &lt; 5, ISEVEN(G5), H5 &lt; 2),"valid", "invalid"))</f>
        <v>invalid</v>
      </c>
    </row>
    <row r="6" spans="2:9" ht="17" thickBot="1" x14ac:dyDescent="0.25">
      <c r="E6" s="7">
        <f t="shared" si="0"/>
        <v>15</v>
      </c>
      <c r="F6" s="14">
        <f t="shared" si="1"/>
        <v>4</v>
      </c>
      <c r="G6" s="14">
        <f>IF(ISEVEN($C$7-E6-F6), $C$7-E6-F6, $C$7-E6-F6-1)</f>
        <v>2</v>
      </c>
      <c r="H6" s="14">
        <f t="shared" si="2"/>
        <v>0</v>
      </c>
      <c r="I6" s="5" t="str">
        <f>IF(E6="", "", IF(AND(SUM(E6:H6)=$C$7, E6/5 = INT(E6/5), F6 &lt; 5, ISEVEN(G6), H6 &lt; 2),"valid", "invalid"))</f>
        <v>invalid</v>
      </c>
    </row>
    <row r="7" spans="2:9" x14ac:dyDescent="0.2">
      <c r="B7" s="3" t="s">
        <v>9</v>
      </c>
      <c r="C7" s="1">
        <v>22</v>
      </c>
      <c r="E7" s="7">
        <f t="shared" si="0"/>
        <v>15</v>
      </c>
      <c r="F7" s="14">
        <f t="shared" si="1"/>
        <v>3</v>
      </c>
      <c r="G7" s="14">
        <f>IF(ISEVEN($C$7-E7-F7), $C$7-E7-F7, $C$7-E7-F7-1)</f>
        <v>4</v>
      </c>
      <c r="H7" s="14">
        <f t="shared" si="2"/>
        <v>0</v>
      </c>
      <c r="I7" s="5" t="str">
        <f>IF(E7="", "", IF(AND(SUM(E7:H7)=$C$7, E7/5 = INT(E7/5), F7 &lt; 5, ISEVEN(G7), H7 &lt; 2),"valid", "invalid"))</f>
        <v>valid</v>
      </c>
    </row>
    <row r="8" spans="2:9" ht="17" thickBot="1" x14ac:dyDescent="0.25">
      <c r="B8" s="4" t="s">
        <v>10</v>
      </c>
      <c r="C8" s="2">
        <f>COUNTIF(I3:I:I, "+")</f>
        <v>0</v>
      </c>
      <c r="E8" s="7">
        <f t="shared" si="0"/>
        <v>15</v>
      </c>
      <c r="F8" s="14">
        <f t="shared" si="1"/>
        <v>2</v>
      </c>
      <c r="G8" s="14">
        <f>IF(ISEVEN($C$7-E8-F8), $C$7-E8-F8, $C$7-E8-F8-1)</f>
        <v>4</v>
      </c>
      <c r="H8" s="14">
        <f t="shared" si="2"/>
        <v>0</v>
      </c>
      <c r="I8" s="5" t="str">
        <f>IF(E8="", "", IF(AND(SUM(E8:H8)=$C$7, E8/5 = INT(E8/5), F8 &lt; 5, ISEVEN(G8), H8 &lt; 2),"valid", "invalid"))</f>
        <v>invalid</v>
      </c>
    </row>
    <row r="9" spans="2:9" x14ac:dyDescent="0.2">
      <c r="E9" s="7">
        <f t="shared" si="0"/>
        <v>15</v>
      </c>
      <c r="F9" s="14">
        <f t="shared" si="1"/>
        <v>1</v>
      </c>
      <c r="G9" s="14">
        <f>IF(ISEVEN($C$7-E9-F9), $C$7-E9-F9, $C$7-E9-F9-1)</f>
        <v>6</v>
      </c>
      <c r="H9" s="14">
        <f t="shared" si="2"/>
        <v>0</v>
      </c>
      <c r="I9" s="5" t="str">
        <f>IF(E9="", "", IF(AND(SUM(E9:H9)=$C$7, E9/5 = INT(E9/5), F9 &lt; 5, ISEVEN(G9), H9 &lt; 2),"valid", "invalid"))</f>
        <v>valid</v>
      </c>
    </row>
    <row r="10" spans="2:9" x14ac:dyDescent="0.2">
      <c r="E10" s="8">
        <f t="shared" si="0"/>
        <v>15</v>
      </c>
      <c r="F10" s="14">
        <f t="shared" si="1"/>
        <v>0</v>
      </c>
      <c r="G10" s="14">
        <f>IF(ISEVEN($C$7-E10-F10), $C$7-E10-F10, $C$7-E10-F10-1)</f>
        <v>6</v>
      </c>
      <c r="H10" s="14">
        <f t="shared" si="2"/>
        <v>0</v>
      </c>
      <c r="I10" s="5" t="str">
        <f>IF(E10="", "", IF(AND(SUM(E10:H10)=$C$7, E10/5 = INT(E10/5), F10 &lt; 5, ISEVEN(G10), H10 &lt; 2),"valid", "invalid"))</f>
        <v>invalid</v>
      </c>
    </row>
    <row r="11" spans="2:9" x14ac:dyDescent="0.2">
      <c r="E11" s="7">
        <f t="shared" si="0"/>
        <v>10</v>
      </c>
      <c r="F11" s="14">
        <f t="shared" si="1"/>
        <v>4</v>
      </c>
      <c r="G11" s="14">
        <f>IF(ISEVEN($C$7-E11-F11), $C$7-E11-F11, $C$7-E11-F11-1)</f>
        <v>8</v>
      </c>
      <c r="H11" s="14">
        <f t="shared" si="2"/>
        <v>0</v>
      </c>
      <c r="I11" s="5" t="str">
        <f>IF(E11="", "", IF(AND(SUM(E11:H11)=$C$7, E11/5 = INT(E11/5), F11 &lt; 5, ISEVEN(G11), H11 &lt; 2),"valid", "invalid"))</f>
        <v>valid</v>
      </c>
    </row>
    <row r="12" spans="2:9" x14ac:dyDescent="0.2">
      <c r="E12" s="7">
        <f t="shared" si="0"/>
        <v>10</v>
      </c>
      <c r="F12" s="14">
        <f t="shared" si="1"/>
        <v>3</v>
      </c>
      <c r="G12" s="14">
        <f>IF(ISEVEN($C$7-E12-F12), $C$7-E12-F12, $C$7-E12-F12-1)</f>
        <v>8</v>
      </c>
      <c r="H12" s="14">
        <f t="shared" si="2"/>
        <v>0</v>
      </c>
      <c r="I12" s="5" t="str">
        <f>IF(E12="", "", IF(AND(SUM(E12:H12)=$C$7, E12/5 = INT(E12/5), F12 &lt; 5, ISEVEN(G12), H12 &lt; 2),"valid", "invalid"))</f>
        <v>invalid</v>
      </c>
    </row>
    <row r="13" spans="2:9" x14ac:dyDescent="0.2">
      <c r="E13" s="7">
        <f t="shared" si="0"/>
        <v>10</v>
      </c>
      <c r="F13" s="14">
        <f t="shared" si="1"/>
        <v>2</v>
      </c>
      <c r="G13" s="14">
        <f>IF(ISEVEN($C$7-E13-F13), $C$7-E13-F13, $C$7-E13-F13-1)</f>
        <v>10</v>
      </c>
      <c r="H13" s="14">
        <f t="shared" si="2"/>
        <v>0</v>
      </c>
      <c r="I13" s="5" t="str">
        <f>IF(E13="", "", IF(AND(SUM(E13:H13)=$C$7, E13/5 = INT(E13/5), F13 &lt; 5, ISEVEN(G13), H13 &lt; 2),"valid", "invalid"))</f>
        <v>valid</v>
      </c>
    </row>
    <row r="14" spans="2:9" x14ac:dyDescent="0.2">
      <c r="E14" s="7">
        <f t="shared" si="0"/>
        <v>10</v>
      </c>
      <c r="F14" s="14">
        <f t="shared" si="1"/>
        <v>1</v>
      </c>
      <c r="G14" s="14">
        <f>IF(ISEVEN($C$7-E14-F14), $C$7-E14-F14, $C$7-E14-F14-1)</f>
        <v>10</v>
      </c>
      <c r="H14" s="14">
        <f t="shared" si="2"/>
        <v>0</v>
      </c>
      <c r="I14" s="5" t="str">
        <f>IF(E14="", "", IF(AND(SUM(E14:H14)=$C$7, E14/5 = INT(E14/5), F14 &lt; 5, ISEVEN(G14), H14 &lt; 2),"valid", "invalid"))</f>
        <v>invalid</v>
      </c>
    </row>
    <row r="15" spans="2:9" x14ac:dyDescent="0.2">
      <c r="E15" s="8">
        <f t="shared" si="0"/>
        <v>10</v>
      </c>
      <c r="F15" s="14">
        <f t="shared" si="1"/>
        <v>0</v>
      </c>
      <c r="G15" s="14">
        <f>IF(ISEVEN($C$7-E15-F15), $C$7-E15-F15, $C$7-E15-F15-1)</f>
        <v>12</v>
      </c>
      <c r="H15" s="14">
        <f t="shared" si="2"/>
        <v>0</v>
      </c>
      <c r="I15" s="5" t="str">
        <f>IF(E15="", "", IF(AND(SUM(E15:H15)=$C$7, E15/5 = INT(E15/5), F15 &lt; 5, ISEVEN(G15), H15 &lt; 2),"valid", "invalid"))</f>
        <v>valid</v>
      </c>
    </row>
    <row r="16" spans="2:9" x14ac:dyDescent="0.2">
      <c r="E16" s="7">
        <f t="shared" si="0"/>
        <v>5</v>
      </c>
      <c r="F16" s="14">
        <f t="shared" si="1"/>
        <v>4</v>
      </c>
      <c r="G16" s="14">
        <f>IF(ISEVEN($C$7-E16-F16), $C$7-E16-F16, $C$7-E16-F16-1)</f>
        <v>12</v>
      </c>
      <c r="H16" s="14">
        <f t="shared" si="2"/>
        <v>0</v>
      </c>
      <c r="I16" s="5" t="str">
        <f>IF(E16="", "", IF(AND(SUM(E16:H16)=$C$7, E16/5 = INT(E16/5), F16 &lt; 5, ISEVEN(G16), H16 &lt; 2),"valid", "invalid"))</f>
        <v>invalid</v>
      </c>
    </row>
    <row r="17" spans="5:9" x14ac:dyDescent="0.2">
      <c r="E17" s="7">
        <f t="shared" si="0"/>
        <v>5</v>
      </c>
      <c r="F17" s="14">
        <f t="shared" si="1"/>
        <v>3</v>
      </c>
      <c r="G17" s="14">
        <f>IF(ISEVEN($C$7-E17-F17), $C$7-E17-F17, $C$7-E17-F17-1)</f>
        <v>14</v>
      </c>
      <c r="H17" s="14">
        <f t="shared" si="2"/>
        <v>0</v>
      </c>
      <c r="I17" s="5" t="str">
        <f>IF(E17="", "", IF(AND(SUM(E17:H17)=$C$7, E17/5 = INT(E17/5), F17 &lt; 5, ISEVEN(G17), H17 &lt; 2),"valid", "invalid"))</f>
        <v>valid</v>
      </c>
    </row>
    <row r="18" spans="5:9" x14ac:dyDescent="0.2">
      <c r="E18" s="7">
        <f t="shared" si="0"/>
        <v>5</v>
      </c>
      <c r="F18" s="14">
        <f t="shared" si="1"/>
        <v>2</v>
      </c>
      <c r="G18" s="14">
        <f>IF(ISEVEN($C$7-E18-F18), $C$7-E18-F18, $C$7-E18-F18-1)</f>
        <v>14</v>
      </c>
      <c r="H18" s="14">
        <f t="shared" si="2"/>
        <v>0</v>
      </c>
      <c r="I18" s="5" t="str">
        <f>IF(E18="", "", IF(AND(SUM(E18:H18)=$C$7, E18/5 = INT(E18/5), F18 &lt; 5, ISEVEN(G18), H18 &lt; 2),"valid", "invalid"))</f>
        <v>invalid</v>
      </c>
    </row>
    <row r="19" spans="5:9" x14ac:dyDescent="0.2">
      <c r="E19" s="7">
        <f t="shared" si="0"/>
        <v>5</v>
      </c>
      <c r="F19" s="14">
        <f t="shared" si="1"/>
        <v>1</v>
      </c>
      <c r="G19" s="14">
        <f>IF(ISEVEN($C$7-E19-F19), $C$7-E19-F19, $C$7-E19-F19-1)</f>
        <v>16</v>
      </c>
      <c r="H19" s="14">
        <f t="shared" si="2"/>
        <v>0</v>
      </c>
      <c r="I19" s="5" t="str">
        <f>IF(E19="", "", IF(AND(SUM(E19:H19)=$C$7, E19/5 = INT(E19/5), F19 &lt; 5, ISEVEN(G19), H19 &lt; 2),"valid", "invalid"))</f>
        <v>valid</v>
      </c>
    </row>
    <row r="20" spans="5:9" ht="17" thickBot="1" x14ac:dyDescent="0.25">
      <c r="E20" s="9">
        <f t="shared" si="0"/>
        <v>5</v>
      </c>
      <c r="F20" s="15">
        <f t="shared" si="1"/>
        <v>0</v>
      </c>
      <c r="G20" s="15">
        <f>IF(ISEVEN($C$7-E20-F20), $C$7-E20-F20, $C$7-E20-F20-1)</f>
        <v>16</v>
      </c>
      <c r="H20" s="15">
        <f t="shared" si="2"/>
        <v>0</v>
      </c>
      <c r="I20" s="2" t="str">
        <f>IF(E20="", "", IF(AND(SUM(E20:H20)=$C$7, E20/5 = INT(E20/5), F20 &lt; 5, ISEVEN(G20), H20 &lt; 2),"valid", "invalid"))</f>
        <v>invalid</v>
      </c>
    </row>
    <row r="22" spans="5:9" x14ac:dyDescent="0.2">
      <c r="F2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2026-02-25T11:09:38Z</dcterms:created>
  <dcterms:modified xsi:type="dcterms:W3CDTF">2026-06-16T10:15:59Z</dcterms:modified>
</cp:coreProperties>
</file>